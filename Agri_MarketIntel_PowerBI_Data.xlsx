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andi_Prices" sheetId="1" state="visible" r:id="rId3"/>
    <sheet name="Monthly_Price_Trend" sheetId="2" state="visible" r:id="rId4"/>
    <sheet name="Seasonal_Index" sheetId="3" state="visible" r:id="rId5"/>
    <sheet name="MSP_vs_Market" sheetId="4" state="visible" r:id="rId6"/>
    <sheet name="Statewise_Prices" sheetId="5" state="visible" r:id="rId7"/>
    <sheet name="Price_Forecast_30Day" sheetId="6" state="visible" r:id="rId8"/>
    <sheet name="KPI_Summary" sheetId="7" state="visible" r:id="rId9"/>
    <sheet name="Arrivals_Breakdown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<sst xmlns="http://schemas.openxmlformats.org/spreadsheetml/2006/main" count="2248" uniqueCount="209">
  <si>
    <t xml:space="preserve">AGRI MARKET INTELLIGENCE — MANDI PRICES (FACT TABLE)</t>
  </si>
  <si>
    <t xml:space="preserve">Source: Agmarknet Daily Report · Karnataka APMCs · 22-Jun-2026 · For Power BI import</t>
  </si>
  <si>
    <t xml:space="preserve">Record_ID</t>
  </si>
  <si>
    <t xml:space="preserve">Report_Date</t>
  </si>
  <si>
    <t xml:space="preserve">State</t>
  </si>
  <si>
    <t xml:space="preserve">District</t>
  </si>
  <si>
    <t xml:space="preserve">Market</t>
  </si>
  <si>
    <t xml:space="preserve">Commodity</t>
  </si>
  <si>
    <t xml:space="preserve">Commodity_Group</t>
  </si>
  <si>
    <t xml:space="preserve">Variety</t>
  </si>
  <si>
    <t xml:space="preserve">Min_Price_Rs</t>
  </si>
  <si>
    <t xml:space="preserve">Max_Price_Rs</t>
  </si>
  <si>
    <t xml:space="preserve">Modal_Price_Rs</t>
  </si>
  <si>
    <t xml:space="preserve">Arrivals_MT</t>
  </si>
  <si>
    <t xml:space="preserve">Karnataka</t>
  </si>
  <si>
    <t xml:space="preserve">Hassan</t>
  </si>
  <si>
    <t xml:space="preserve">Arasikere APMC</t>
  </si>
  <si>
    <t xml:space="preserve">Paddy (Common)</t>
  </si>
  <si>
    <t xml:space="preserve">Cereals</t>
  </si>
  <si>
    <t xml:space="preserve">FAQ</t>
  </si>
  <si>
    <t xml:space="preserve">Wheat</t>
  </si>
  <si>
    <t xml:space="preserve">Maize</t>
  </si>
  <si>
    <t xml:space="preserve">Jowar</t>
  </si>
  <si>
    <t xml:space="preserve">Bajra</t>
  </si>
  <si>
    <t xml:space="preserve">Red Gram</t>
  </si>
  <si>
    <t xml:space="preserve">Pulses</t>
  </si>
  <si>
    <t xml:space="preserve">Bengal Gram</t>
  </si>
  <si>
    <t xml:space="preserve">Black Gram</t>
  </si>
  <si>
    <t xml:space="preserve">Green Gram</t>
  </si>
  <si>
    <t xml:space="preserve">Groundnut</t>
  </si>
  <si>
    <t xml:space="preserve">Oil Seeds</t>
  </si>
  <si>
    <t xml:space="preserve">Mustard</t>
  </si>
  <si>
    <t xml:space="preserve">Soyabean</t>
  </si>
  <si>
    <t xml:space="preserve">Sunflower</t>
  </si>
  <si>
    <t xml:space="preserve">Copra</t>
  </si>
  <si>
    <t xml:space="preserve">Castor Seed</t>
  </si>
  <si>
    <t xml:space="preserve">Cotton</t>
  </si>
  <si>
    <t xml:space="preserve">Fibre Crops</t>
  </si>
  <si>
    <t xml:space="preserve">Tomato</t>
  </si>
  <si>
    <t xml:space="preserve">Vegetables</t>
  </si>
  <si>
    <t xml:space="preserve">Onion</t>
  </si>
  <si>
    <t xml:space="preserve">Belur APMC</t>
  </si>
  <si>
    <t xml:space="preserve">Hassan APMC</t>
  </si>
  <si>
    <t xml:space="preserve">Tumkur</t>
  </si>
  <si>
    <t xml:space="preserve">Tumkur APMC</t>
  </si>
  <si>
    <t xml:space="preserve">Sira APMC</t>
  </si>
  <si>
    <t xml:space="preserve">Tiptur APMC</t>
  </si>
  <si>
    <t xml:space="preserve">Bangalore Rural</t>
  </si>
  <si>
    <t xml:space="preserve">Chintamani APMC</t>
  </si>
  <si>
    <t xml:space="preserve">Kolar APMC</t>
  </si>
  <si>
    <t xml:space="preserve">Dharwad</t>
  </si>
  <si>
    <t xml:space="preserve">Dharwad APMC</t>
  </si>
  <si>
    <t xml:space="preserve">Hubli APMC</t>
  </si>
  <si>
    <t xml:space="preserve">Gadag</t>
  </si>
  <si>
    <t xml:space="preserve">Gadag APMC</t>
  </si>
  <si>
    <t xml:space="preserve">Ron APMC</t>
  </si>
  <si>
    <t xml:space="preserve">Bidar</t>
  </si>
  <si>
    <t xml:space="preserve">Bidar APMC</t>
  </si>
  <si>
    <t xml:space="preserve">Aurad APMC</t>
  </si>
  <si>
    <t xml:space="preserve">Haveri</t>
  </si>
  <si>
    <t xml:space="preserve">Byadagi APMC</t>
  </si>
  <si>
    <t xml:space="preserve">Haveri APMC</t>
  </si>
  <si>
    <t xml:space="preserve">Ranibennur APMC</t>
  </si>
  <si>
    <t xml:space="preserve">Chikmagalur</t>
  </si>
  <si>
    <t xml:space="preserve">Chikmagalur APMC</t>
  </si>
  <si>
    <t xml:space="preserve">Kadur APMC</t>
  </si>
  <si>
    <t xml:space="preserve">Mandya</t>
  </si>
  <si>
    <t xml:space="preserve">Mandya APMC</t>
  </si>
  <si>
    <t xml:space="preserve">Srirangapatna APMC</t>
  </si>
  <si>
    <t xml:space="preserve">Mysore</t>
  </si>
  <si>
    <t xml:space="preserve">Mysore APMC</t>
  </si>
  <si>
    <t xml:space="preserve">Nanjangud APMC</t>
  </si>
  <si>
    <t xml:space="preserve">MONTHLY PRICE TREND — MAJOR COMMODITIES (Jan 2025 – Jun 2026)</t>
  </si>
  <si>
    <t xml:space="preserve">Month</t>
  </si>
  <si>
    <t xml:space="preserve">Paddy</t>
  </si>
  <si>
    <t xml:space="preserve">Jan-25</t>
  </si>
  <si>
    <t xml:space="preserve">Feb-25</t>
  </si>
  <si>
    <t xml:space="preserve">Mar-25</t>
  </si>
  <si>
    <t xml:space="preserve">Apr-25</t>
  </si>
  <si>
    <t xml:space="preserve">May-25</t>
  </si>
  <si>
    <t xml:space="preserve">Jun-25</t>
  </si>
  <si>
    <t xml:space="preserve">Jul-25</t>
  </si>
  <si>
    <t xml:space="preserve">Aug-25</t>
  </si>
  <si>
    <t xml:space="preserve">Sep-25</t>
  </si>
  <si>
    <t xml:space="preserve">Oct-25</t>
  </si>
  <si>
    <t xml:space="preserve">Nov-25</t>
  </si>
  <si>
    <t xml:space="preserve">Dec-25</t>
  </si>
  <si>
    <t xml:space="preserve">Jan-26</t>
  </si>
  <si>
    <t xml:space="preserve">Feb-26</t>
  </si>
  <si>
    <t xml:space="preserve">Mar-26</t>
  </si>
  <si>
    <t xml:space="preserve">Apr-26</t>
  </si>
  <si>
    <t xml:space="preserve">May-26</t>
  </si>
  <si>
    <t xml:space="preserve">Jun-26</t>
  </si>
  <si>
    <t xml:space="preserve">SEASONAL PRICE INDEX — MONTHLY (BASE = 100 = ANNUAL AVERAGE)</t>
  </si>
  <si>
    <t xml:space="preserve">Jan</t>
  </si>
  <si>
    <t xml:space="preserve">Feb</t>
  </si>
  <si>
    <t xml:space="preserve">Mar</t>
  </si>
  <si>
    <t xml:space="preserve">Apr</t>
  </si>
  <si>
    <t xml:space="preserve">May</t>
  </si>
  <si>
    <t xml:space="preserve">Jun</t>
  </si>
  <si>
    <t xml:space="preserve">Jul</t>
  </si>
  <si>
    <t xml:space="preserve">Aug</t>
  </si>
  <si>
    <t xml:space="preserve">Sep</t>
  </si>
  <si>
    <t xml:space="preserve">Oct</t>
  </si>
  <si>
    <t xml:space="preserve">Nov</t>
  </si>
  <si>
    <t xml:space="preserve">Dec</t>
  </si>
  <si>
    <t xml:space="preserve">Peak Month</t>
  </si>
  <si>
    <t xml:space="preserve">Arecanut</t>
  </si>
  <si>
    <t xml:space="preserve">Turmeric</t>
  </si>
  <si>
    <t xml:space="preserve">Legend:  Green = above annual average (lean season)   |   Red = below average (harvest surplus)</t>
  </si>
  <si>
    <t xml:space="preserve">MSP vs MARKET PRICE ANALYSIS — 2025–26 SEASON</t>
  </si>
  <si>
    <t xml:space="preserve">Group</t>
  </si>
  <si>
    <t xml:space="preserve">Season</t>
  </si>
  <si>
    <t xml:space="preserve">MSP_Rs_Qtl</t>
  </si>
  <si>
    <t xml:space="preserve">Market_Price_Rs</t>
  </si>
  <si>
    <t xml:space="preserve">Premium_Discount_Rs</t>
  </si>
  <si>
    <t xml:space="preserve">Premium_Pct</t>
  </si>
  <si>
    <t xml:space="preserve">Status</t>
  </si>
  <si>
    <t xml:space="preserve">Procurement_Risk</t>
  </si>
  <si>
    <t xml:space="preserve">Kharif</t>
  </si>
  <si>
    <t xml:space="preserve">AT PAR</t>
  </si>
  <si>
    <t xml:space="preserve">Marginal buffer</t>
  </si>
  <si>
    <t xml:space="preserve">Rabi</t>
  </si>
  <si>
    <t xml:space="preserve">HEALTHY</t>
  </si>
  <si>
    <t xml:space="preserve">No intervention</t>
  </si>
  <si>
    <t xml:space="preserve">Jowar (Hybrid)</t>
  </si>
  <si>
    <t xml:space="preserve">HIGH RISK</t>
  </si>
  <si>
    <t xml:space="preserve">Intervention needed</t>
  </si>
  <si>
    <t xml:space="preserve">Cotton (Medium)</t>
  </si>
  <si>
    <t xml:space="preserve">Fibre</t>
  </si>
  <si>
    <t xml:space="preserve">WATCH</t>
  </si>
  <si>
    <t xml:space="preserve">Monitor closely</t>
  </si>
  <si>
    <t xml:space="preserve">Copra (Ball)</t>
  </si>
  <si>
    <t xml:space="preserve">STATE-WISE WHOLESALE PRICES — MONTHLY ANALYSIS (ARECANUT)</t>
  </si>
  <si>
    <t xml:space="preserve">Price_Month</t>
  </si>
  <si>
    <t xml:space="preserve">Current_Rs_Qtl</t>
  </si>
  <si>
    <t xml:space="preserve">Prev_Month_Rs</t>
  </si>
  <si>
    <t xml:space="preserve">Prev_Year_Rs</t>
  </si>
  <si>
    <t xml:space="preserve">MoM_Change_Pct</t>
  </si>
  <si>
    <t xml:space="preserve">YoY_Change_Pct</t>
  </si>
  <si>
    <t xml:space="preserve">Region</t>
  </si>
  <si>
    <t xml:space="preserve">Maharashtra</t>
  </si>
  <si>
    <t xml:space="preserve">South</t>
  </si>
  <si>
    <t xml:space="preserve">Keralam</t>
  </si>
  <si>
    <t xml:space="preserve">Goa</t>
  </si>
  <si>
    <t xml:space="preserve">West</t>
  </si>
  <si>
    <t xml:space="preserve">Meghalaya</t>
  </si>
  <si>
    <t xml:space="preserve">NE</t>
  </si>
  <si>
    <t xml:space="preserve">Nagaland</t>
  </si>
  <si>
    <t xml:space="preserve">Dec-24</t>
  </si>
  <si>
    <t xml:space="preserve">30-DAY PRICE FORECAST — ENSEMBLE MODEL (SARIMA + PROPHET + XGBOOST)</t>
  </si>
  <si>
    <t xml:space="preserve">Forecast_Date</t>
  </si>
  <si>
    <t xml:space="preserve">Model</t>
  </si>
  <si>
    <t xml:space="preserve">Predicted_Price_Rs</t>
  </si>
  <si>
    <t xml:space="preserve">Lower_CI_Rs</t>
  </si>
  <si>
    <t xml:space="preserve">Upper_CI_Rs</t>
  </si>
  <si>
    <t xml:space="preserve">Trend_Direction</t>
  </si>
  <si>
    <t xml:space="preserve">MSP_Gap_Rs</t>
  </si>
  <si>
    <t xml:space="preserve">Ensemble</t>
  </si>
  <si>
    <t xml:space="preserve">↓ Bearish</t>
  </si>
  <si>
    <t xml:space="preserve">↑ Bullish</t>
  </si>
  <si>
    <t xml:space="preserve">N/A</t>
  </si>
  <si>
    <t xml:space="preserve">KPI SUMMARY — POWER BI CARD METRICS</t>
  </si>
  <si>
    <t xml:space="preserve">KPI_Name</t>
  </si>
  <si>
    <t xml:space="preserve">Current_Value</t>
  </si>
  <si>
    <t xml:space="preserve">Unit</t>
  </si>
  <si>
    <t xml:space="preserve">Category</t>
  </si>
  <si>
    <t xml:space="preserve">Total Mandi Records</t>
  </si>
  <si>
    <t xml:space="preserve">Count</t>
  </si>
  <si>
    <t xml:space="preserve">Volume</t>
  </si>
  <si>
    <t xml:space="preserve">Unique Commodities</t>
  </si>
  <si>
    <t xml:space="preserve">Coverage</t>
  </si>
  <si>
    <t xml:space="preserve">Active Markets</t>
  </si>
  <si>
    <t xml:space="preserve">Avg Modal Price</t>
  </si>
  <si>
    <t xml:space="preserve">Rs/Qtl</t>
  </si>
  <si>
    <t xml:space="preserve">Price</t>
  </si>
  <si>
    <t xml:space="preserve">Total Arrivals</t>
  </si>
  <si>
    <t xml:space="preserve">MT</t>
  </si>
  <si>
    <t xml:space="preserve">MSP Crops Tracked</t>
  </si>
  <si>
    <t xml:space="preserve">Policy</t>
  </si>
  <si>
    <t xml:space="preserve">Crops Above MSP</t>
  </si>
  <si>
    <t xml:space="preserve">Crops Below MSP</t>
  </si>
  <si>
    <t xml:space="preserve">Forecast Model MAPE</t>
  </si>
  <si>
    <t xml:space="preserve">Percent</t>
  </si>
  <si>
    <t xml:space="preserve">Seasonal Amplitude Avg</t>
  </si>
  <si>
    <t xml:space="preserve">Seasonal</t>
  </si>
  <si>
    <t xml:space="preserve">Peak Price Month</t>
  </si>
  <si>
    <t xml:space="preserve">Harvest Dip Month</t>
  </si>
  <si>
    <t xml:space="preserve">MH Arecanut YoY Growth</t>
  </si>
  <si>
    <t xml:space="preserve">Weighted Avg Arecanut</t>
  </si>
  <si>
    <t xml:space="preserve">Arrival-Price Corr</t>
  </si>
  <si>
    <t xml:space="preserve">Pearson r</t>
  </si>
  <si>
    <t xml:space="preserve">Price Forecast Horizon</t>
  </si>
  <si>
    <t xml:space="preserve">Days</t>
  </si>
  <si>
    <t xml:space="preserve">Forecast</t>
  </si>
  <si>
    <t xml:space="preserve">COMMODITY ARRIVALS BREAKDOWN — 22 JUN 2026</t>
  </si>
  <si>
    <t xml:space="preserve">Total_Arrivals</t>
  </si>
  <si>
    <t xml:space="preserve">Avg_Modal_Price_Rs</t>
  </si>
  <si>
    <t xml:space="preserve">Traded_Value_Rs_Est</t>
  </si>
  <si>
    <t xml:space="preserve">Tender Coconut</t>
  </si>
  <si>
    <t xml:space="preserve">Fruits</t>
  </si>
  <si>
    <t xml:space="preserve">Nos</t>
  </si>
  <si>
    <t xml:space="preserve">Coconut</t>
  </si>
  <si>
    <t xml:space="preserve">Rice</t>
  </si>
  <si>
    <t xml:space="preserve">Potato</t>
  </si>
  <si>
    <t xml:space="preserve">Plantation</t>
  </si>
  <si>
    <t xml:space="preserve">Garlic</t>
  </si>
  <si>
    <t xml:space="preserve">Banana</t>
  </si>
  <si>
    <t xml:space="preserve">Mango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</si>
</sst>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dd\-mmm\-yyyy"/>
    <numFmt numFmtId="166" formatCode="#,##0"/>
    <numFmt numFmtId="167" formatCode="#,##0.0"/>
    <numFmt numFmtId="168" formatCode="\+#,##0;\-#,##0;0"/>
    <numFmt numFmtId="169" formatCode="\+0.0%;\-0.0%;0.0%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1A1A1A"/>
      <name val="Arial"/>
      <family val="0"/>
      <charset val="1"/>
    </font>
    <font>
      <b val="true"/>
      <sz val="10"/>
      <color rgb="FF1A1A1A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9C0006"/>
      <name val="Arial"/>
      <family val="0"/>
      <charset val="1"/>
    </font>
    <font>
      <b val="true"/>
      <sz val="10"/>
      <color rgb="FF276221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10"/>
      <color rgb="FF7D5A00"/>
      <name val="Arial"/>
      <family val="0"/>
      <charset val="1"/>
    </font>
    <font>
      <b val="true"/>
      <sz val="10"/>
      <color rgb="FFCC0000"/>
      <name val="Arial"/>
      <family val="0"/>
      <charset val="1"/>
    </font>
    <font>
      <b val="true"/>
      <sz val="10"/>
      <color rgb="FF1A3C2E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1A3C2E"/>
        <bgColor rgb="FF003300"/>
      </patternFill>
    </fill>
    <fill>
      <patternFill patternType="solid">
        <fgColor rgb="FF1D6B4A"/>
        <bgColor rgb="FF276221"/>
      </patternFill>
    </fill>
    <fill>
      <patternFill patternType="solid">
        <fgColor rgb="FFE8F5EE"/>
        <bgColor rgb="FFFFFFFF"/>
      </patternFill>
    </fill>
    <fill>
      <patternFill patternType="solid">
        <fgColor rgb="FFFFFFFF"/>
        <bgColor rgb="FFE8F5EE"/>
      </patternFill>
    </fill>
    <fill>
      <patternFill patternType="solid">
        <fgColor rgb="FFFFCCCC"/>
        <bgColor rgb="FFD9D9D9"/>
      </patternFill>
    </fill>
    <fill>
      <patternFill patternType="solid">
        <fgColor rgb="FFC6EFCE"/>
        <bgColor rgb="FFD9D9D9"/>
      </patternFill>
    </fill>
    <fill>
      <patternFill patternType="solid">
        <fgColor rgb="FFF5A623"/>
        <bgColor rgb="FFFFCC00"/>
      </patternFill>
    </fill>
    <fill>
      <patternFill patternType="solid">
        <fgColor rgb="FFFFEB9C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8" fontId="8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8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8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8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16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6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16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6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7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7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2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2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1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7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7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9C0006"/>
      <rgbColor rgb="FF276221"/>
      <rgbColor rgb="FF000080"/>
      <rgbColor rgb="FF7D5A00"/>
      <rgbColor rgb="FF800080"/>
      <rgbColor rgb="FF1D6B4A"/>
      <rgbColor rgb="FFCCCCCC"/>
      <rgbColor rgb="FF878787"/>
      <rgbColor rgb="FF9999FF"/>
      <rgbColor rgb="FFBE4B48"/>
      <rgbColor rgb="FFFFFFCC"/>
      <rgbColor rgb="FFE8F5EE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CCC"/>
      <rgbColor rgb="FF4A7EBB"/>
      <rgbColor rgb="FF33CCCC"/>
      <rgbColor rgb="FF98B855"/>
      <rgbColor rgb="FFFFCC00"/>
      <rgbColor rgb="FFF5A623"/>
      <rgbColor rgb="FFFF6600"/>
      <rgbColor rgb="FF666666"/>
      <rgbColor rgb="FF969696"/>
      <rgbColor rgb="FF003366"/>
      <rgbColor rgb="FF339966"/>
      <rgbColor rgb="FF003300"/>
      <rgbColor rgb="FF1A1A1A"/>
      <rgbColor rgb="FF993300"/>
      <rgbColor rgb="FF993366"/>
      <rgbColor rgb="FF555555"/>
      <rgbColor rgb="FF1A3C2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Price Trend — Paddy, Wheat, Maize (Rs./Qtl)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Monthly_Price_Trend!B2</c:f>
              <c:strCache>
                <c:ptCount val="1"/>
                <c:pt idx="0">
                  <c:v>Paddy</c:v>
                </c:pt>
              </c:strCache>
            </c:strRef>
          </c:tx>
          <c:spPr>
            <a:solidFill>
              <a:srgbClr val="4a7ebb"/>
            </a:solidFill>
            <a:ln w="4752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Monthly_Price_Trend!$A$3:$A$20</c:f>
              <c:strCache>
                <c:ptCount val="18"/>
                <c:pt idx="0">
                  <c:v>Jan-25</c:v>
                </c:pt>
                <c:pt idx="1">
                  <c:v>Feb-25</c:v>
                </c:pt>
                <c:pt idx="2">
                  <c:v>Mar-25</c:v>
                </c:pt>
                <c:pt idx="3">
                  <c:v>Apr-25</c:v>
                </c:pt>
                <c:pt idx="4">
                  <c:v>May-25</c:v>
                </c:pt>
                <c:pt idx="5">
                  <c:v>Jun-25</c:v>
                </c:pt>
                <c:pt idx="6">
                  <c:v>Jul-25</c:v>
                </c:pt>
                <c:pt idx="7">
                  <c:v>Aug-25</c:v>
                </c:pt>
                <c:pt idx="8">
                  <c:v>Sep-25</c:v>
                </c:pt>
                <c:pt idx="9">
                  <c:v>Oct-25</c:v>
                </c:pt>
                <c:pt idx="10">
                  <c:v>Nov-25</c:v>
                </c:pt>
                <c:pt idx="11">
                  <c:v>Dec-25</c:v>
                </c:pt>
                <c:pt idx="12">
                  <c:v>Jan-26</c:v>
                </c:pt>
                <c:pt idx="13">
                  <c:v>Feb-26</c:v>
                </c:pt>
                <c:pt idx="14">
                  <c:v>Mar-26</c:v>
                </c:pt>
                <c:pt idx="15">
                  <c:v>Apr-26</c:v>
                </c:pt>
                <c:pt idx="16">
                  <c:v>May-26</c:v>
                </c:pt>
                <c:pt idx="17">
                  <c:v>Jun-26</c:v>
                </c:pt>
              </c:strCache>
            </c:strRef>
          </c:cat>
          <c:val>
            <c:numRef>
              <c:f>Monthly_Price_Trend!$B$3:$B$20</c:f>
              <c:numCache>
                <c:formatCode>#,##0</c:formatCode>
                <c:ptCount val="18"/>
                <c:pt idx="0">
                  <c:v>2310</c:v>
                </c:pt>
                <c:pt idx="1">
                  <c:v>2290</c:v>
                </c:pt>
                <c:pt idx="2">
                  <c:v>2280</c:v>
                </c:pt>
                <c:pt idx="3">
                  <c:v>2320</c:v>
                </c:pt>
                <c:pt idx="4">
                  <c:v>2380</c:v>
                </c:pt>
                <c:pt idx="5">
                  <c:v>2420</c:v>
                </c:pt>
                <c:pt idx="6">
                  <c:v>2450</c:v>
                </c:pt>
                <c:pt idx="7">
                  <c:v>2430</c:v>
                </c:pt>
                <c:pt idx="8">
                  <c:v>2410</c:v>
                </c:pt>
                <c:pt idx="9">
                  <c:v>2350</c:v>
                </c:pt>
                <c:pt idx="10">
                  <c:v>2310</c:v>
                </c:pt>
                <c:pt idx="11">
                  <c:v>2330</c:v>
                </c:pt>
                <c:pt idx="12">
                  <c:v>2370</c:v>
                </c:pt>
                <c:pt idx="13">
                  <c:v>2400</c:v>
                </c:pt>
                <c:pt idx="14">
                  <c:v>2430</c:v>
                </c:pt>
                <c:pt idx="15">
                  <c:v>2450</c:v>
                </c:pt>
                <c:pt idx="16">
                  <c:v>2470</c:v>
                </c:pt>
                <c:pt idx="17">
                  <c:v>2481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Monthly_Price_Trend!C2</c:f>
              <c:strCache>
                <c:ptCount val="1"/>
                <c:pt idx="0">
                  <c:v>Wheat</c:v>
                </c:pt>
              </c:strCache>
            </c:strRef>
          </c:tx>
          <c:spPr>
            <a:solidFill>
              <a:srgbClr val="be4b48"/>
            </a:solidFill>
            <a:ln w="4752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Monthly_Price_Trend!$A$3:$A$20</c:f>
              <c:strCache>
                <c:ptCount val="18"/>
                <c:pt idx="0">
                  <c:v>Jan-25</c:v>
                </c:pt>
                <c:pt idx="1">
                  <c:v>Feb-25</c:v>
                </c:pt>
                <c:pt idx="2">
                  <c:v>Mar-25</c:v>
                </c:pt>
                <c:pt idx="3">
                  <c:v>Apr-25</c:v>
                </c:pt>
                <c:pt idx="4">
                  <c:v>May-25</c:v>
                </c:pt>
                <c:pt idx="5">
                  <c:v>Jun-25</c:v>
                </c:pt>
                <c:pt idx="6">
                  <c:v>Jul-25</c:v>
                </c:pt>
                <c:pt idx="7">
                  <c:v>Aug-25</c:v>
                </c:pt>
                <c:pt idx="8">
                  <c:v>Sep-25</c:v>
                </c:pt>
                <c:pt idx="9">
                  <c:v>Oct-25</c:v>
                </c:pt>
                <c:pt idx="10">
                  <c:v>Nov-25</c:v>
                </c:pt>
                <c:pt idx="11">
                  <c:v>Dec-25</c:v>
                </c:pt>
                <c:pt idx="12">
                  <c:v>Jan-26</c:v>
                </c:pt>
                <c:pt idx="13">
                  <c:v>Feb-26</c:v>
                </c:pt>
                <c:pt idx="14">
                  <c:v>Mar-26</c:v>
                </c:pt>
                <c:pt idx="15">
                  <c:v>Apr-26</c:v>
                </c:pt>
                <c:pt idx="16">
                  <c:v>May-26</c:v>
                </c:pt>
                <c:pt idx="17">
                  <c:v>Jun-26</c:v>
                </c:pt>
              </c:strCache>
            </c:strRef>
          </c:cat>
          <c:val>
            <c:numRef>
              <c:f>Monthly_Price_Trend!$C$3:$C$20</c:f>
              <c:numCache>
                <c:formatCode>#,##0</c:formatCode>
                <c:ptCount val="18"/>
                <c:pt idx="0">
                  <c:v>2380</c:v>
                </c:pt>
                <c:pt idx="1">
                  <c:v>2360</c:v>
                </c:pt>
                <c:pt idx="2">
                  <c:v>2340</c:v>
                </c:pt>
                <c:pt idx="3">
                  <c:v>2410</c:v>
                </c:pt>
                <c:pt idx="4">
                  <c:v>2460</c:v>
                </c:pt>
                <c:pt idx="5">
                  <c:v>2500</c:v>
                </c:pt>
                <c:pt idx="6">
                  <c:v>2520</c:v>
                </c:pt>
                <c:pt idx="7">
                  <c:v>2510</c:v>
                </c:pt>
                <c:pt idx="8">
                  <c:v>2490</c:v>
                </c:pt>
                <c:pt idx="9">
                  <c:v>2440</c:v>
                </c:pt>
                <c:pt idx="10">
                  <c:v>2400</c:v>
                </c:pt>
                <c:pt idx="11">
                  <c:v>2420</c:v>
                </c:pt>
                <c:pt idx="12">
                  <c:v>2450</c:v>
                </c:pt>
                <c:pt idx="13">
                  <c:v>2460</c:v>
                </c:pt>
                <c:pt idx="14">
                  <c:v>2480</c:v>
                </c:pt>
                <c:pt idx="15">
                  <c:v>2490</c:v>
                </c:pt>
                <c:pt idx="16">
                  <c:v>2495</c:v>
                </c:pt>
                <c:pt idx="17">
                  <c:v>2488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Monthly_Price_Trend!D2</c:f>
              <c:strCache>
                <c:ptCount val="1"/>
                <c:pt idx="0">
                  <c:v>Maize</c:v>
                </c:pt>
              </c:strCache>
            </c:strRef>
          </c:tx>
          <c:spPr>
            <a:solidFill>
              <a:srgbClr val="98b855"/>
            </a:solidFill>
            <a:ln w="47520">
              <a:solidFill>
                <a:srgbClr val="98b85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Monthly_Price_Trend!$A$3:$A$20</c:f>
              <c:strCache>
                <c:ptCount val="18"/>
                <c:pt idx="0">
                  <c:v>Jan-25</c:v>
                </c:pt>
                <c:pt idx="1">
                  <c:v>Feb-25</c:v>
                </c:pt>
                <c:pt idx="2">
                  <c:v>Mar-25</c:v>
                </c:pt>
                <c:pt idx="3">
                  <c:v>Apr-25</c:v>
                </c:pt>
                <c:pt idx="4">
                  <c:v>May-25</c:v>
                </c:pt>
                <c:pt idx="5">
                  <c:v>Jun-25</c:v>
                </c:pt>
                <c:pt idx="6">
                  <c:v>Jul-25</c:v>
                </c:pt>
                <c:pt idx="7">
                  <c:v>Aug-25</c:v>
                </c:pt>
                <c:pt idx="8">
                  <c:v>Sep-25</c:v>
                </c:pt>
                <c:pt idx="9">
                  <c:v>Oct-25</c:v>
                </c:pt>
                <c:pt idx="10">
                  <c:v>Nov-25</c:v>
                </c:pt>
                <c:pt idx="11">
                  <c:v>Dec-25</c:v>
                </c:pt>
                <c:pt idx="12">
                  <c:v>Jan-26</c:v>
                </c:pt>
                <c:pt idx="13">
                  <c:v>Feb-26</c:v>
                </c:pt>
                <c:pt idx="14">
                  <c:v>Mar-26</c:v>
                </c:pt>
                <c:pt idx="15">
                  <c:v>Apr-26</c:v>
                </c:pt>
                <c:pt idx="16">
                  <c:v>May-26</c:v>
                </c:pt>
                <c:pt idx="17">
                  <c:v>Jun-26</c:v>
                </c:pt>
              </c:strCache>
            </c:strRef>
          </c:cat>
          <c:val>
            <c:numRef>
              <c:f>Monthly_Price_Trend!$D$3:$D$20</c:f>
              <c:numCache>
                <c:formatCode>#,##0</c:formatCode>
                <c:ptCount val="18"/>
                <c:pt idx="0">
                  <c:v>2420</c:v>
                </c:pt>
                <c:pt idx="1">
                  <c:v>2390</c:v>
                </c:pt>
                <c:pt idx="2">
                  <c:v>2370</c:v>
                </c:pt>
                <c:pt idx="3">
                  <c:v>2400</c:v>
                </c:pt>
                <c:pt idx="4">
                  <c:v>2450</c:v>
                </c:pt>
                <c:pt idx="5">
                  <c:v>2520</c:v>
                </c:pt>
                <c:pt idx="6">
                  <c:v>2580</c:v>
                </c:pt>
                <c:pt idx="7">
                  <c:v>2560</c:v>
                </c:pt>
                <c:pt idx="8">
                  <c:v>2510</c:v>
                </c:pt>
                <c:pt idx="9">
                  <c:v>2440</c:v>
                </c:pt>
                <c:pt idx="10">
                  <c:v>2400</c:v>
                </c:pt>
                <c:pt idx="11">
                  <c:v>2440</c:v>
                </c:pt>
                <c:pt idx="12">
                  <c:v>2480</c:v>
                </c:pt>
                <c:pt idx="13">
                  <c:v>2510</c:v>
                </c:pt>
                <c:pt idx="14">
                  <c:v>2540</c:v>
                </c:pt>
                <c:pt idx="15">
                  <c:v>2560</c:v>
                </c:pt>
                <c:pt idx="16">
                  <c:v>2580</c:v>
                </c:pt>
                <c:pt idx="17">
                  <c:v>2600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96340140"/>
        <c:axId val="17026521"/>
      </c:lineChart>
      <c:catAx>
        <c:axId val="963401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7026521"/>
        <c:crosses val="autoZero"/>
        <c:auto val="1"/>
        <c:lblAlgn val="ctr"/>
        <c:lblOffset val="100"/>
        <c:noMultiLvlLbl val="0"/>
      </c:catAx>
      <c:valAx>
        <c:axId val="1702652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634014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21</xdr:row>
      <xdr:rowOff>0</xdr:rowOff>
    </xdr:from>
    <xdr:to>
      <xdr:col>10</xdr:col>
      <xdr:colOff>471240</xdr:colOff>
      <xdr:row>43</xdr:row>
      <xdr:rowOff>128520</xdr:rowOff>
    </xdr:to>
    <xdr:graphicFrame>
      <xdr:nvGraphicFramePr>
        <xdr:cNvPr id="0" name="Chart 1"/>
        <xdr:cNvGraphicFramePr/>
      </xdr:nvGraphicFramePr>
      <xdr:xfrm>
        <a:off x="0" y="4324320"/>
        <a:ext cx="791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8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4"/>
    <col collapsed="false" customWidth="true" hidden="false" outlineLevel="0" max="3" min="3" style="0" width="12"/>
    <col collapsed="false" customWidth="true" hidden="false" outlineLevel="0" max="4" min="4" style="0" width="18"/>
    <col collapsed="false" customWidth="true" hidden="false" outlineLevel="0" max="6" min="5" style="0" width="22"/>
    <col collapsed="false" customWidth="true" hidden="false" outlineLevel="0" max="7" min="7" style="0" width="16"/>
    <col collapsed="false" customWidth="true" hidden="false" outlineLevel="0" max="8" min="8" style="0" width="10"/>
    <col collapsed="false" customWidth="true" hidden="false" outlineLevel="0" max="11" min="9" style="0" width="14"/>
    <col collapsed="false" customWidth="true" hidden="false" outlineLevel="0" max="12" min="12" style="0" width="13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18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customFormat="false" ht="27.75" hidden="false" customHeight="true" outlineLevel="0" collapsed="false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</row>
    <row r="4" customFormat="false" ht="15" hidden="false" customHeight="false" outlineLevel="0" collapsed="false">
      <c r="A4" s="4" t="n">
        <v>1</v>
      </c>
      <c r="B4" s="5" t="n">
        <v>46195</v>
      </c>
      <c r="C4" s="6" t="s">
        <v>14</v>
      </c>
      <c r="D4" s="6" t="s">
        <v>15</v>
      </c>
      <c r="E4" s="6" t="s">
        <v>16</v>
      </c>
      <c r="F4" s="7" t="s">
        <v>17</v>
      </c>
      <c r="G4" s="6" t="s">
        <v>18</v>
      </c>
      <c r="H4" s="4" t="s">
        <v>19</v>
      </c>
      <c r="I4" s="8" t="n">
        <v>2203</v>
      </c>
      <c r="J4" s="8" t="n">
        <v>2448</v>
      </c>
      <c r="K4" s="9" t="n">
        <v>2327</v>
      </c>
      <c r="L4" s="10" t="n">
        <v>286.2</v>
      </c>
    </row>
    <row r="5" customFormat="false" ht="15" hidden="false" customHeight="false" outlineLevel="0" collapsed="false">
      <c r="A5" s="11" t="n">
        <v>2</v>
      </c>
      <c r="B5" s="12" t="n">
        <v>46195</v>
      </c>
      <c r="C5" s="13" t="s">
        <v>14</v>
      </c>
      <c r="D5" s="13" t="s">
        <v>15</v>
      </c>
      <c r="E5" s="13" t="s">
        <v>16</v>
      </c>
      <c r="F5" s="14" t="s">
        <v>20</v>
      </c>
      <c r="G5" s="13" t="s">
        <v>18</v>
      </c>
      <c r="H5" s="11" t="s">
        <v>19</v>
      </c>
      <c r="I5" s="15" t="n">
        <v>2206</v>
      </c>
      <c r="J5" s="15" t="n">
        <v>2542</v>
      </c>
      <c r="K5" s="16" t="n">
        <v>2330</v>
      </c>
      <c r="L5" s="17" t="n">
        <v>103.9</v>
      </c>
    </row>
    <row r="6" customFormat="false" ht="15" hidden="false" customHeight="false" outlineLevel="0" collapsed="false">
      <c r="A6" s="4" t="n">
        <v>3</v>
      </c>
      <c r="B6" s="5" t="n">
        <v>46195</v>
      </c>
      <c r="C6" s="6" t="s">
        <v>14</v>
      </c>
      <c r="D6" s="6" t="s">
        <v>15</v>
      </c>
      <c r="E6" s="6" t="s">
        <v>16</v>
      </c>
      <c r="F6" s="7" t="s">
        <v>21</v>
      </c>
      <c r="G6" s="6" t="s">
        <v>18</v>
      </c>
      <c r="H6" s="4" t="s">
        <v>19</v>
      </c>
      <c r="I6" s="8" t="n">
        <v>2137</v>
      </c>
      <c r="J6" s="8" t="n">
        <v>2526</v>
      </c>
      <c r="K6" s="9" t="n">
        <v>2405</v>
      </c>
      <c r="L6" s="10" t="n">
        <v>410.4</v>
      </c>
    </row>
    <row r="7" customFormat="false" ht="15" hidden="false" customHeight="false" outlineLevel="0" collapsed="false">
      <c r="A7" s="11" t="n">
        <v>4</v>
      </c>
      <c r="B7" s="12" t="n">
        <v>46195</v>
      </c>
      <c r="C7" s="13" t="s">
        <v>14</v>
      </c>
      <c r="D7" s="13" t="s">
        <v>15</v>
      </c>
      <c r="E7" s="13" t="s">
        <v>16</v>
      </c>
      <c r="F7" s="14" t="s">
        <v>22</v>
      </c>
      <c r="G7" s="13" t="s">
        <v>18</v>
      </c>
      <c r="H7" s="11" t="s">
        <v>19</v>
      </c>
      <c r="I7" s="15" t="n">
        <v>3893</v>
      </c>
      <c r="J7" s="15" t="n">
        <v>4580</v>
      </c>
      <c r="K7" s="16" t="n">
        <v>4122</v>
      </c>
      <c r="L7" s="17" t="n">
        <v>47</v>
      </c>
    </row>
    <row r="8" customFormat="false" ht="15" hidden="false" customHeight="false" outlineLevel="0" collapsed="false">
      <c r="A8" s="4" t="n">
        <v>5</v>
      </c>
      <c r="B8" s="5" t="n">
        <v>46195</v>
      </c>
      <c r="C8" s="6" t="s">
        <v>14</v>
      </c>
      <c r="D8" s="6" t="s">
        <v>15</v>
      </c>
      <c r="E8" s="6" t="s">
        <v>16</v>
      </c>
      <c r="F8" s="7" t="s">
        <v>23</v>
      </c>
      <c r="G8" s="6" t="s">
        <v>18</v>
      </c>
      <c r="H8" s="4" t="s">
        <v>19</v>
      </c>
      <c r="I8" s="8" t="n">
        <v>2092</v>
      </c>
      <c r="J8" s="8" t="n">
        <v>2620</v>
      </c>
      <c r="K8" s="9" t="n">
        <v>2312</v>
      </c>
      <c r="L8" s="10" t="n">
        <v>56.5</v>
      </c>
    </row>
    <row r="9" customFormat="false" ht="15" hidden="false" customHeight="false" outlineLevel="0" collapsed="false">
      <c r="A9" s="11" t="n">
        <v>6</v>
      </c>
      <c r="B9" s="12" t="n">
        <v>46195</v>
      </c>
      <c r="C9" s="13" t="s">
        <v>14</v>
      </c>
      <c r="D9" s="13" t="s">
        <v>15</v>
      </c>
      <c r="E9" s="13" t="s">
        <v>16</v>
      </c>
      <c r="F9" s="14" t="s">
        <v>24</v>
      </c>
      <c r="G9" s="13" t="s">
        <v>25</v>
      </c>
      <c r="H9" s="11" t="s">
        <v>19</v>
      </c>
      <c r="I9" s="15" t="n">
        <v>6389</v>
      </c>
      <c r="J9" s="15" t="n">
        <v>7350</v>
      </c>
      <c r="K9" s="16" t="n">
        <v>6959</v>
      </c>
      <c r="L9" s="17" t="n">
        <v>144.3</v>
      </c>
    </row>
    <row r="10" customFormat="false" ht="15" hidden="false" customHeight="false" outlineLevel="0" collapsed="false">
      <c r="A10" s="4" t="n">
        <v>7</v>
      </c>
      <c r="B10" s="5" t="n">
        <v>46195</v>
      </c>
      <c r="C10" s="6" t="s">
        <v>14</v>
      </c>
      <c r="D10" s="6" t="s">
        <v>15</v>
      </c>
      <c r="E10" s="6" t="s">
        <v>16</v>
      </c>
      <c r="F10" s="7" t="s">
        <v>26</v>
      </c>
      <c r="G10" s="6" t="s">
        <v>25</v>
      </c>
      <c r="H10" s="4" t="s">
        <v>19</v>
      </c>
      <c r="I10" s="8" t="n">
        <v>5265</v>
      </c>
      <c r="J10" s="8" t="n">
        <v>6332</v>
      </c>
      <c r="K10" s="9" t="n">
        <v>5921</v>
      </c>
      <c r="L10" s="10" t="n">
        <v>73.5</v>
      </c>
    </row>
    <row r="11" customFormat="false" ht="15" hidden="false" customHeight="false" outlineLevel="0" collapsed="false">
      <c r="A11" s="11" t="n">
        <v>8</v>
      </c>
      <c r="B11" s="12" t="n">
        <v>46195</v>
      </c>
      <c r="C11" s="13" t="s">
        <v>14</v>
      </c>
      <c r="D11" s="13" t="s">
        <v>15</v>
      </c>
      <c r="E11" s="13" t="s">
        <v>16</v>
      </c>
      <c r="F11" s="14" t="s">
        <v>27</v>
      </c>
      <c r="G11" s="13" t="s">
        <v>25</v>
      </c>
      <c r="H11" s="11" t="s">
        <v>19</v>
      </c>
      <c r="I11" s="15" t="n">
        <v>9870</v>
      </c>
      <c r="J11" s="15" t="n">
        <v>11200</v>
      </c>
      <c r="K11" s="16" t="n">
        <v>10920</v>
      </c>
      <c r="L11" s="17" t="n">
        <v>46.1</v>
      </c>
    </row>
    <row r="12" customFormat="false" ht="15" hidden="false" customHeight="false" outlineLevel="0" collapsed="false">
      <c r="A12" s="4" t="n">
        <v>9</v>
      </c>
      <c r="B12" s="5" t="n">
        <v>46195</v>
      </c>
      <c r="C12" s="6" t="s">
        <v>14</v>
      </c>
      <c r="D12" s="6" t="s">
        <v>15</v>
      </c>
      <c r="E12" s="6" t="s">
        <v>16</v>
      </c>
      <c r="F12" s="7" t="s">
        <v>28</v>
      </c>
      <c r="G12" s="6" t="s">
        <v>25</v>
      </c>
      <c r="H12" s="4" t="s">
        <v>19</v>
      </c>
      <c r="I12" s="8" t="n">
        <v>7332</v>
      </c>
      <c r="J12" s="8" t="n">
        <v>7844</v>
      </c>
      <c r="K12" s="9" t="n">
        <v>7614</v>
      </c>
      <c r="L12" s="10" t="n">
        <v>24.7</v>
      </c>
    </row>
    <row r="13" customFormat="false" ht="15" hidden="false" customHeight="false" outlineLevel="0" collapsed="false">
      <c r="A13" s="11" t="n">
        <v>10</v>
      </c>
      <c r="B13" s="12" t="n">
        <v>46195</v>
      </c>
      <c r="C13" s="13" t="s">
        <v>14</v>
      </c>
      <c r="D13" s="13" t="s">
        <v>15</v>
      </c>
      <c r="E13" s="13" t="s">
        <v>16</v>
      </c>
      <c r="F13" s="14" t="s">
        <v>29</v>
      </c>
      <c r="G13" s="13" t="s">
        <v>30</v>
      </c>
      <c r="H13" s="11" t="s">
        <v>19</v>
      </c>
      <c r="I13" s="15" t="n">
        <v>6245</v>
      </c>
      <c r="J13" s="15" t="n">
        <v>6943</v>
      </c>
      <c r="K13" s="16" t="n">
        <v>6507</v>
      </c>
      <c r="L13" s="17" t="n">
        <v>160.5</v>
      </c>
    </row>
    <row r="14" customFormat="false" ht="15" hidden="false" customHeight="false" outlineLevel="0" collapsed="false">
      <c r="A14" s="4" t="n">
        <v>11</v>
      </c>
      <c r="B14" s="5" t="n">
        <v>46195</v>
      </c>
      <c r="C14" s="6" t="s">
        <v>14</v>
      </c>
      <c r="D14" s="6" t="s">
        <v>15</v>
      </c>
      <c r="E14" s="6" t="s">
        <v>16</v>
      </c>
      <c r="F14" s="7" t="s">
        <v>31</v>
      </c>
      <c r="G14" s="6" t="s">
        <v>30</v>
      </c>
      <c r="H14" s="4" t="s">
        <v>19</v>
      </c>
      <c r="I14" s="8" t="n">
        <v>5349</v>
      </c>
      <c r="J14" s="8" t="n">
        <v>6379</v>
      </c>
      <c r="K14" s="9" t="n">
        <v>5693</v>
      </c>
      <c r="L14" s="10" t="n">
        <v>156.7</v>
      </c>
    </row>
    <row r="15" customFormat="false" ht="15" hidden="false" customHeight="false" outlineLevel="0" collapsed="false">
      <c r="A15" s="11" t="n">
        <v>12</v>
      </c>
      <c r="B15" s="12" t="n">
        <v>46195</v>
      </c>
      <c r="C15" s="13" t="s">
        <v>14</v>
      </c>
      <c r="D15" s="13" t="s">
        <v>15</v>
      </c>
      <c r="E15" s="13" t="s">
        <v>16</v>
      </c>
      <c r="F15" s="14" t="s">
        <v>32</v>
      </c>
      <c r="G15" s="13" t="s">
        <v>30</v>
      </c>
      <c r="H15" s="11" t="s">
        <v>19</v>
      </c>
      <c r="I15" s="15" t="n">
        <v>4858</v>
      </c>
      <c r="J15" s="15" t="n">
        <v>5423</v>
      </c>
      <c r="K15" s="16" t="n">
        <v>5071</v>
      </c>
      <c r="L15" s="17" t="n">
        <v>170</v>
      </c>
    </row>
    <row r="16" customFormat="false" ht="15" hidden="false" customHeight="false" outlineLevel="0" collapsed="false">
      <c r="A16" s="4" t="n">
        <v>13</v>
      </c>
      <c r="B16" s="5" t="n">
        <v>46195</v>
      </c>
      <c r="C16" s="6" t="s">
        <v>14</v>
      </c>
      <c r="D16" s="6" t="s">
        <v>15</v>
      </c>
      <c r="E16" s="6" t="s">
        <v>16</v>
      </c>
      <c r="F16" s="7" t="s">
        <v>33</v>
      </c>
      <c r="G16" s="6" t="s">
        <v>30</v>
      </c>
      <c r="H16" s="4" t="s">
        <v>19</v>
      </c>
      <c r="I16" s="8" t="n">
        <v>6862</v>
      </c>
      <c r="J16" s="8" t="n">
        <v>8178</v>
      </c>
      <c r="K16" s="9" t="n">
        <v>7670</v>
      </c>
      <c r="L16" s="10" t="n">
        <v>126.2</v>
      </c>
    </row>
    <row r="17" customFormat="false" ht="15" hidden="false" customHeight="false" outlineLevel="0" collapsed="false">
      <c r="A17" s="11" t="n">
        <v>14</v>
      </c>
      <c r="B17" s="12" t="n">
        <v>46195</v>
      </c>
      <c r="C17" s="13" t="s">
        <v>14</v>
      </c>
      <c r="D17" s="13" t="s">
        <v>15</v>
      </c>
      <c r="E17" s="13" t="s">
        <v>16</v>
      </c>
      <c r="F17" s="14" t="s">
        <v>34</v>
      </c>
      <c r="G17" s="13" t="s">
        <v>30</v>
      </c>
      <c r="H17" s="11" t="s">
        <v>19</v>
      </c>
      <c r="I17" s="15" t="n">
        <v>22354</v>
      </c>
      <c r="J17" s="15" t="n">
        <v>24438</v>
      </c>
      <c r="K17" s="16" t="n">
        <v>23743</v>
      </c>
      <c r="L17" s="17" t="n">
        <v>37.1</v>
      </c>
    </row>
    <row r="18" customFormat="false" ht="15" hidden="false" customHeight="false" outlineLevel="0" collapsed="false">
      <c r="A18" s="4" t="n">
        <v>15</v>
      </c>
      <c r="B18" s="5" t="n">
        <v>46195</v>
      </c>
      <c r="C18" s="6" t="s">
        <v>14</v>
      </c>
      <c r="D18" s="6" t="s">
        <v>15</v>
      </c>
      <c r="E18" s="6" t="s">
        <v>16</v>
      </c>
      <c r="F18" s="7" t="s">
        <v>35</v>
      </c>
      <c r="G18" s="6" t="s">
        <v>30</v>
      </c>
      <c r="H18" s="4" t="s">
        <v>19</v>
      </c>
      <c r="I18" s="8" t="n">
        <v>4988</v>
      </c>
      <c r="J18" s="8" t="n">
        <v>5973</v>
      </c>
      <c r="K18" s="9" t="n">
        <v>5530</v>
      </c>
      <c r="L18" s="10" t="n">
        <v>28.9</v>
      </c>
    </row>
    <row r="19" customFormat="false" ht="15" hidden="false" customHeight="false" outlineLevel="0" collapsed="false">
      <c r="A19" s="11" t="n">
        <v>16</v>
      </c>
      <c r="B19" s="12" t="n">
        <v>46195</v>
      </c>
      <c r="C19" s="13" t="s">
        <v>14</v>
      </c>
      <c r="D19" s="13" t="s">
        <v>15</v>
      </c>
      <c r="E19" s="13" t="s">
        <v>16</v>
      </c>
      <c r="F19" s="14" t="s">
        <v>36</v>
      </c>
      <c r="G19" s="13" t="s">
        <v>37</v>
      </c>
      <c r="H19" s="11" t="s">
        <v>19</v>
      </c>
      <c r="I19" s="15" t="n">
        <v>7480</v>
      </c>
      <c r="J19" s="15" t="n">
        <v>8327</v>
      </c>
      <c r="K19" s="16" t="n">
        <v>7941</v>
      </c>
      <c r="L19" s="17" t="n">
        <v>96.8</v>
      </c>
    </row>
    <row r="20" customFormat="false" ht="15" hidden="false" customHeight="false" outlineLevel="0" collapsed="false">
      <c r="A20" s="4" t="n">
        <v>17</v>
      </c>
      <c r="B20" s="5" t="n">
        <v>46195</v>
      </c>
      <c r="C20" s="6" t="s">
        <v>14</v>
      </c>
      <c r="D20" s="6" t="s">
        <v>15</v>
      </c>
      <c r="E20" s="6" t="s">
        <v>16</v>
      </c>
      <c r="F20" s="7" t="s">
        <v>38</v>
      </c>
      <c r="G20" s="6" t="s">
        <v>39</v>
      </c>
      <c r="H20" s="4" t="s">
        <v>19</v>
      </c>
      <c r="I20" s="8" t="n">
        <v>1384</v>
      </c>
      <c r="J20" s="8" t="n">
        <v>1762</v>
      </c>
      <c r="K20" s="9" t="n">
        <v>1564</v>
      </c>
      <c r="L20" s="10" t="n">
        <v>528.9</v>
      </c>
    </row>
    <row r="21" customFormat="false" ht="15" hidden="false" customHeight="false" outlineLevel="0" collapsed="false">
      <c r="A21" s="11" t="n">
        <v>18</v>
      </c>
      <c r="B21" s="12" t="n">
        <v>46195</v>
      </c>
      <c r="C21" s="13" t="s">
        <v>14</v>
      </c>
      <c r="D21" s="13" t="s">
        <v>15</v>
      </c>
      <c r="E21" s="13" t="s">
        <v>16</v>
      </c>
      <c r="F21" s="14" t="s">
        <v>40</v>
      </c>
      <c r="G21" s="13" t="s">
        <v>39</v>
      </c>
      <c r="H21" s="11" t="s">
        <v>19</v>
      </c>
      <c r="I21" s="15" t="n">
        <v>1918</v>
      </c>
      <c r="J21" s="15" t="n">
        <v>2465</v>
      </c>
      <c r="K21" s="16" t="n">
        <v>2165</v>
      </c>
      <c r="L21" s="17" t="n">
        <v>266</v>
      </c>
    </row>
    <row r="22" customFormat="false" ht="15" hidden="false" customHeight="false" outlineLevel="0" collapsed="false">
      <c r="A22" s="4" t="n">
        <v>19</v>
      </c>
      <c r="B22" s="5" t="n">
        <v>46195</v>
      </c>
      <c r="C22" s="6" t="s">
        <v>14</v>
      </c>
      <c r="D22" s="6" t="s">
        <v>15</v>
      </c>
      <c r="E22" s="6" t="s">
        <v>41</v>
      </c>
      <c r="F22" s="7" t="s">
        <v>17</v>
      </c>
      <c r="G22" s="6" t="s">
        <v>18</v>
      </c>
      <c r="H22" s="4" t="s">
        <v>19</v>
      </c>
      <c r="I22" s="8" t="n">
        <v>2189</v>
      </c>
      <c r="J22" s="8" t="n">
        <v>2687</v>
      </c>
      <c r="K22" s="9" t="n">
        <v>2367</v>
      </c>
      <c r="L22" s="10" t="n">
        <v>561</v>
      </c>
    </row>
    <row r="23" customFormat="false" ht="15" hidden="false" customHeight="false" outlineLevel="0" collapsed="false">
      <c r="A23" s="11" t="n">
        <v>20</v>
      </c>
      <c r="B23" s="12" t="n">
        <v>46195</v>
      </c>
      <c r="C23" s="13" t="s">
        <v>14</v>
      </c>
      <c r="D23" s="13" t="s">
        <v>15</v>
      </c>
      <c r="E23" s="13" t="s">
        <v>41</v>
      </c>
      <c r="F23" s="14" t="s">
        <v>20</v>
      </c>
      <c r="G23" s="13" t="s">
        <v>18</v>
      </c>
      <c r="H23" s="11" t="s">
        <v>19</v>
      </c>
      <c r="I23" s="15" t="n">
        <v>2094</v>
      </c>
      <c r="J23" s="15" t="n">
        <v>2620</v>
      </c>
      <c r="K23" s="16" t="n">
        <v>2346</v>
      </c>
      <c r="L23" s="17" t="n">
        <v>98.5</v>
      </c>
    </row>
    <row r="24" customFormat="false" ht="15" hidden="false" customHeight="false" outlineLevel="0" collapsed="false">
      <c r="A24" s="4" t="n">
        <v>21</v>
      </c>
      <c r="B24" s="5" t="n">
        <v>46195</v>
      </c>
      <c r="C24" s="6" t="s">
        <v>14</v>
      </c>
      <c r="D24" s="6" t="s">
        <v>15</v>
      </c>
      <c r="E24" s="6" t="s">
        <v>41</v>
      </c>
      <c r="F24" s="7" t="s">
        <v>21</v>
      </c>
      <c r="G24" s="6" t="s">
        <v>18</v>
      </c>
      <c r="H24" s="4" t="s">
        <v>19</v>
      </c>
      <c r="I24" s="8" t="n">
        <v>2483</v>
      </c>
      <c r="J24" s="8" t="n">
        <v>2962</v>
      </c>
      <c r="K24" s="9" t="n">
        <v>2703</v>
      </c>
      <c r="L24" s="10" t="n">
        <v>310.6</v>
      </c>
    </row>
    <row r="25" customFormat="false" ht="15" hidden="false" customHeight="false" outlineLevel="0" collapsed="false">
      <c r="A25" s="11" t="n">
        <v>22</v>
      </c>
      <c r="B25" s="12" t="n">
        <v>46195</v>
      </c>
      <c r="C25" s="13" t="s">
        <v>14</v>
      </c>
      <c r="D25" s="13" t="s">
        <v>15</v>
      </c>
      <c r="E25" s="13" t="s">
        <v>41</v>
      </c>
      <c r="F25" s="14" t="s">
        <v>22</v>
      </c>
      <c r="G25" s="13" t="s">
        <v>18</v>
      </c>
      <c r="H25" s="11" t="s">
        <v>19</v>
      </c>
      <c r="I25" s="15" t="n">
        <v>3933</v>
      </c>
      <c r="J25" s="15" t="n">
        <v>4778</v>
      </c>
      <c r="K25" s="16" t="n">
        <v>4407</v>
      </c>
      <c r="L25" s="17" t="n">
        <v>66.7</v>
      </c>
    </row>
    <row r="26" customFormat="false" ht="15" hidden="false" customHeight="false" outlineLevel="0" collapsed="false">
      <c r="A26" s="4" t="n">
        <v>23</v>
      </c>
      <c r="B26" s="5" t="n">
        <v>46195</v>
      </c>
      <c r="C26" s="6" t="s">
        <v>14</v>
      </c>
      <c r="D26" s="6" t="s">
        <v>15</v>
      </c>
      <c r="E26" s="6" t="s">
        <v>41</v>
      </c>
      <c r="F26" s="7" t="s">
        <v>23</v>
      </c>
      <c r="G26" s="6" t="s">
        <v>18</v>
      </c>
      <c r="H26" s="4" t="s">
        <v>19</v>
      </c>
      <c r="I26" s="8" t="n">
        <v>2204</v>
      </c>
      <c r="J26" s="8" t="n">
        <v>2567</v>
      </c>
      <c r="K26" s="9" t="n">
        <v>2466</v>
      </c>
      <c r="L26" s="10" t="n">
        <v>52.6</v>
      </c>
    </row>
    <row r="27" customFormat="false" ht="15" hidden="false" customHeight="false" outlineLevel="0" collapsed="false">
      <c r="A27" s="11" t="n">
        <v>24</v>
      </c>
      <c r="B27" s="12" t="n">
        <v>46195</v>
      </c>
      <c r="C27" s="13" t="s">
        <v>14</v>
      </c>
      <c r="D27" s="13" t="s">
        <v>15</v>
      </c>
      <c r="E27" s="13" t="s">
        <v>41</v>
      </c>
      <c r="F27" s="14" t="s">
        <v>24</v>
      </c>
      <c r="G27" s="13" t="s">
        <v>25</v>
      </c>
      <c r="H27" s="11" t="s">
        <v>19</v>
      </c>
      <c r="I27" s="15" t="n">
        <v>6836</v>
      </c>
      <c r="J27" s="15" t="n">
        <v>8202</v>
      </c>
      <c r="K27" s="16" t="n">
        <v>7474</v>
      </c>
      <c r="L27" s="17" t="n">
        <v>205.1</v>
      </c>
    </row>
    <row r="28" customFormat="false" ht="15" hidden="false" customHeight="false" outlineLevel="0" collapsed="false">
      <c r="A28" s="4" t="n">
        <v>25</v>
      </c>
      <c r="B28" s="5" t="n">
        <v>46195</v>
      </c>
      <c r="C28" s="6" t="s">
        <v>14</v>
      </c>
      <c r="D28" s="6" t="s">
        <v>15</v>
      </c>
      <c r="E28" s="6" t="s">
        <v>41</v>
      </c>
      <c r="F28" s="7" t="s">
        <v>26</v>
      </c>
      <c r="G28" s="6" t="s">
        <v>25</v>
      </c>
      <c r="H28" s="4" t="s">
        <v>19</v>
      </c>
      <c r="I28" s="8" t="n">
        <v>5072</v>
      </c>
      <c r="J28" s="8" t="n">
        <v>6232</v>
      </c>
      <c r="K28" s="9" t="n">
        <v>5455</v>
      </c>
      <c r="L28" s="10" t="n">
        <v>105.2</v>
      </c>
    </row>
    <row r="29" customFormat="false" ht="15" hidden="false" customHeight="false" outlineLevel="0" collapsed="false">
      <c r="A29" s="11" t="n">
        <v>26</v>
      </c>
      <c r="B29" s="12" t="n">
        <v>46195</v>
      </c>
      <c r="C29" s="13" t="s">
        <v>14</v>
      </c>
      <c r="D29" s="13" t="s">
        <v>15</v>
      </c>
      <c r="E29" s="13" t="s">
        <v>41</v>
      </c>
      <c r="F29" s="14" t="s">
        <v>27</v>
      </c>
      <c r="G29" s="13" t="s">
        <v>25</v>
      </c>
      <c r="H29" s="11" t="s">
        <v>19</v>
      </c>
      <c r="I29" s="15" t="n">
        <v>10085</v>
      </c>
      <c r="J29" s="15" t="n">
        <v>11745</v>
      </c>
      <c r="K29" s="16" t="n">
        <v>10509</v>
      </c>
      <c r="L29" s="17" t="n">
        <v>63</v>
      </c>
    </row>
    <row r="30" customFormat="false" ht="15" hidden="false" customHeight="false" outlineLevel="0" collapsed="false">
      <c r="A30" s="4" t="n">
        <v>27</v>
      </c>
      <c r="B30" s="5" t="n">
        <v>46195</v>
      </c>
      <c r="C30" s="6" t="s">
        <v>14</v>
      </c>
      <c r="D30" s="6" t="s">
        <v>15</v>
      </c>
      <c r="E30" s="6" t="s">
        <v>41</v>
      </c>
      <c r="F30" s="7" t="s">
        <v>28</v>
      </c>
      <c r="G30" s="6" t="s">
        <v>25</v>
      </c>
      <c r="H30" s="4" t="s">
        <v>19</v>
      </c>
      <c r="I30" s="8" t="n">
        <v>7154</v>
      </c>
      <c r="J30" s="8" t="n">
        <v>8213</v>
      </c>
      <c r="K30" s="9" t="n">
        <v>7893</v>
      </c>
      <c r="L30" s="10" t="n">
        <v>14.1</v>
      </c>
    </row>
    <row r="31" customFormat="false" ht="15" hidden="false" customHeight="false" outlineLevel="0" collapsed="false">
      <c r="A31" s="11" t="n">
        <v>28</v>
      </c>
      <c r="B31" s="12" t="n">
        <v>46195</v>
      </c>
      <c r="C31" s="13" t="s">
        <v>14</v>
      </c>
      <c r="D31" s="13" t="s">
        <v>15</v>
      </c>
      <c r="E31" s="13" t="s">
        <v>41</v>
      </c>
      <c r="F31" s="14" t="s">
        <v>29</v>
      </c>
      <c r="G31" s="13" t="s">
        <v>30</v>
      </c>
      <c r="H31" s="11" t="s">
        <v>19</v>
      </c>
      <c r="I31" s="15" t="n">
        <v>6238</v>
      </c>
      <c r="J31" s="15" t="n">
        <v>7569</v>
      </c>
      <c r="K31" s="16" t="n">
        <v>6603</v>
      </c>
      <c r="L31" s="17" t="n">
        <v>319</v>
      </c>
    </row>
    <row r="32" customFormat="false" ht="15" hidden="false" customHeight="false" outlineLevel="0" collapsed="false">
      <c r="A32" s="4" t="n">
        <v>29</v>
      </c>
      <c r="B32" s="5" t="n">
        <v>46195</v>
      </c>
      <c r="C32" s="6" t="s">
        <v>14</v>
      </c>
      <c r="D32" s="6" t="s">
        <v>15</v>
      </c>
      <c r="E32" s="6" t="s">
        <v>41</v>
      </c>
      <c r="F32" s="7" t="s">
        <v>31</v>
      </c>
      <c r="G32" s="6" t="s">
        <v>30</v>
      </c>
      <c r="H32" s="4" t="s">
        <v>19</v>
      </c>
      <c r="I32" s="8" t="n">
        <v>5446</v>
      </c>
      <c r="J32" s="8" t="n">
        <v>6742</v>
      </c>
      <c r="K32" s="9" t="n">
        <v>6122</v>
      </c>
      <c r="L32" s="10" t="n">
        <v>140.3</v>
      </c>
    </row>
    <row r="33" customFormat="false" ht="15" hidden="false" customHeight="false" outlineLevel="0" collapsed="false">
      <c r="A33" s="11" t="n">
        <v>30</v>
      </c>
      <c r="B33" s="12" t="n">
        <v>46195</v>
      </c>
      <c r="C33" s="13" t="s">
        <v>14</v>
      </c>
      <c r="D33" s="13" t="s">
        <v>15</v>
      </c>
      <c r="E33" s="13" t="s">
        <v>41</v>
      </c>
      <c r="F33" s="14" t="s">
        <v>32</v>
      </c>
      <c r="G33" s="13" t="s">
        <v>30</v>
      </c>
      <c r="H33" s="11" t="s">
        <v>19</v>
      </c>
      <c r="I33" s="15" t="n">
        <v>4314</v>
      </c>
      <c r="J33" s="15" t="n">
        <v>5134</v>
      </c>
      <c r="K33" s="16" t="n">
        <v>4804</v>
      </c>
      <c r="L33" s="17" t="n">
        <v>110.8</v>
      </c>
    </row>
    <row r="34" customFormat="false" ht="15" hidden="false" customHeight="false" outlineLevel="0" collapsed="false">
      <c r="A34" s="4" t="n">
        <v>31</v>
      </c>
      <c r="B34" s="5" t="n">
        <v>46195</v>
      </c>
      <c r="C34" s="6" t="s">
        <v>14</v>
      </c>
      <c r="D34" s="6" t="s">
        <v>15</v>
      </c>
      <c r="E34" s="6" t="s">
        <v>41</v>
      </c>
      <c r="F34" s="7" t="s">
        <v>33</v>
      </c>
      <c r="G34" s="6" t="s">
        <v>30</v>
      </c>
      <c r="H34" s="4" t="s">
        <v>19</v>
      </c>
      <c r="I34" s="8" t="n">
        <v>7520</v>
      </c>
      <c r="J34" s="8" t="n">
        <v>8898</v>
      </c>
      <c r="K34" s="9" t="n">
        <v>7809</v>
      </c>
      <c r="L34" s="10" t="n">
        <v>117.6</v>
      </c>
    </row>
    <row r="35" customFormat="false" ht="15" hidden="false" customHeight="false" outlineLevel="0" collapsed="false">
      <c r="A35" s="11" t="n">
        <v>32</v>
      </c>
      <c r="B35" s="12" t="n">
        <v>46195</v>
      </c>
      <c r="C35" s="13" t="s">
        <v>14</v>
      </c>
      <c r="D35" s="13" t="s">
        <v>15</v>
      </c>
      <c r="E35" s="13" t="s">
        <v>42</v>
      </c>
      <c r="F35" s="14" t="s">
        <v>17</v>
      </c>
      <c r="G35" s="13" t="s">
        <v>18</v>
      </c>
      <c r="H35" s="11" t="s">
        <v>19</v>
      </c>
      <c r="I35" s="15" t="n">
        <v>2207</v>
      </c>
      <c r="J35" s="15" t="n">
        <v>2597</v>
      </c>
      <c r="K35" s="16" t="n">
        <v>2290</v>
      </c>
      <c r="L35" s="17" t="n">
        <v>664.1</v>
      </c>
    </row>
    <row r="36" customFormat="false" ht="15" hidden="false" customHeight="false" outlineLevel="0" collapsed="false">
      <c r="A36" s="4" t="n">
        <v>33</v>
      </c>
      <c r="B36" s="5" t="n">
        <v>46195</v>
      </c>
      <c r="C36" s="6" t="s">
        <v>14</v>
      </c>
      <c r="D36" s="6" t="s">
        <v>15</v>
      </c>
      <c r="E36" s="6" t="s">
        <v>42</v>
      </c>
      <c r="F36" s="7" t="s">
        <v>20</v>
      </c>
      <c r="G36" s="6" t="s">
        <v>18</v>
      </c>
      <c r="H36" s="4" t="s">
        <v>19</v>
      </c>
      <c r="I36" s="8" t="n">
        <v>2134</v>
      </c>
      <c r="J36" s="8" t="n">
        <v>2734</v>
      </c>
      <c r="K36" s="9" t="n">
        <v>2411</v>
      </c>
      <c r="L36" s="10" t="n">
        <v>141.9</v>
      </c>
    </row>
    <row r="37" customFormat="false" ht="15" hidden="false" customHeight="false" outlineLevel="0" collapsed="false">
      <c r="A37" s="11" t="n">
        <v>34</v>
      </c>
      <c r="B37" s="12" t="n">
        <v>46195</v>
      </c>
      <c r="C37" s="13" t="s">
        <v>14</v>
      </c>
      <c r="D37" s="13" t="s">
        <v>15</v>
      </c>
      <c r="E37" s="13" t="s">
        <v>42</v>
      </c>
      <c r="F37" s="14" t="s">
        <v>21</v>
      </c>
      <c r="G37" s="13" t="s">
        <v>18</v>
      </c>
      <c r="H37" s="11" t="s">
        <v>19</v>
      </c>
      <c r="I37" s="15" t="n">
        <v>2243</v>
      </c>
      <c r="J37" s="15" t="n">
        <v>2498</v>
      </c>
      <c r="K37" s="16" t="n">
        <v>2428</v>
      </c>
      <c r="L37" s="17" t="n">
        <v>476.4</v>
      </c>
    </row>
    <row r="38" customFormat="false" ht="15" hidden="false" customHeight="false" outlineLevel="0" collapsed="false">
      <c r="A38" s="4" t="n">
        <v>35</v>
      </c>
      <c r="B38" s="5" t="n">
        <v>46195</v>
      </c>
      <c r="C38" s="6" t="s">
        <v>14</v>
      </c>
      <c r="D38" s="6" t="s">
        <v>15</v>
      </c>
      <c r="E38" s="6" t="s">
        <v>42</v>
      </c>
      <c r="F38" s="7" t="s">
        <v>22</v>
      </c>
      <c r="G38" s="6" t="s">
        <v>18</v>
      </c>
      <c r="H38" s="4" t="s">
        <v>19</v>
      </c>
      <c r="I38" s="8" t="n">
        <v>3794</v>
      </c>
      <c r="J38" s="8" t="n">
        <v>4604</v>
      </c>
      <c r="K38" s="9" t="n">
        <v>4256</v>
      </c>
      <c r="L38" s="10" t="n">
        <v>54.7</v>
      </c>
    </row>
    <row r="39" customFormat="false" ht="15" hidden="false" customHeight="false" outlineLevel="0" collapsed="false">
      <c r="A39" s="11" t="n">
        <v>36</v>
      </c>
      <c r="B39" s="12" t="n">
        <v>46195</v>
      </c>
      <c r="C39" s="13" t="s">
        <v>14</v>
      </c>
      <c r="D39" s="13" t="s">
        <v>15</v>
      </c>
      <c r="E39" s="13" t="s">
        <v>42</v>
      </c>
      <c r="F39" s="14" t="s">
        <v>23</v>
      </c>
      <c r="G39" s="13" t="s">
        <v>18</v>
      </c>
      <c r="H39" s="11" t="s">
        <v>19</v>
      </c>
      <c r="I39" s="15" t="n">
        <v>2150</v>
      </c>
      <c r="J39" s="15" t="n">
        <v>2411</v>
      </c>
      <c r="K39" s="16" t="n">
        <v>2243</v>
      </c>
      <c r="L39" s="17" t="n">
        <v>29.5</v>
      </c>
    </row>
    <row r="40" customFormat="false" ht="15" hidden="false" customHeight="false" outlineLevel="0" collapsed="false">
      <c r="A40" s="4" t="n">
        <v>37</v>
      </c>
      <c r="B40" s="5" t="n">
        <v>46195</v>
      </c>
      <c r="C40" s="6" t="s">
        <v>14</v>
      </c>
      <c r="D40" s="6" t="s">
        <v>15</v>
      </c>
      <c r="E40" s="6" t="s">
        <v>42</v>
      </c>
      <c r="F40" s="7" t="s">
        <v>24</v>
      </c>
      <c r="G40" s="6" t="s">
        <v>25</v>
      </c>
      <c r="H40" s="4" t="s">
        <v>19</v>
      </c>
      <c r="I40" s="8" t="n">
        <v>7004</v>
      </c>
      <c r="J40" s="8" t="n">
        <v>7748</v>
      </c>
      <c r="K40" s="9" t="n">
        <v>7406</v>
      </c>
      <c r="L40" s="10" t="n">
        <v>167.5</v>
      </c>
    </row>
    <row r="41" customFormat="false" ht="15" hidden="false" customHeight="false" outlineLevel="0" collapsed="false">
      <c r="A41" s="11" t="n">
        <v>38</v>
      </c>
      <c r="B41" s="12" t="n">
        <v>46195</v>
      </c>
      <c r="C41" s="13" t="s">
        <v>14</v>
      </c>
      <c r="D41" s="13" t="s">
        <v>15</v>
      </c>
      <c r="E41" s="13" t="s">
        <v>42</v>
      </c>
      <c r="F41" s="14" t="s">
        <v>26</v>
      </c>
      <c r="G41" s="13" t="s">
        <v>25</v>
      </c>
      <c r="H41" s="11" t="s">
        <v>19</v>
      </c>
      <c r="I41" s="15" t="n">
        <v>5754</v>
      </c>
      <c r="J41" s="15" t="n">
        <v>6603</v>
      </c>
      <c r="K41" s="16" t="n">
        <v>6131</v>
      </c>
      <c r="L41" s="17" t="n">
        <v>89.1</v>
      </c>
    </row>
    <row r="42" customFormat="false" ht="15" hidden="false" customHeight="false" outlineLevel="0" collapsed="false">
      <c r="A42" s="4" t="n">
        <v>39</v>
      </c>
      <c r="B42" s="5" t="n">
        <v>46195</v>
      </c>
      <c r="C42" s="6" t="s">
        <v>14</v>
      </c>
      <c r="D42" s="6" t="s">
        <v>15</v>
      </c>
      <c r="E42" s="6" t="s">
        <v>42</v>
      </c>
      <c r="F42" s="7" t="s">
        <v>27</v>
      </c>
      <c r="G42" s="6" t="s">
        <v>25</v>
      </c>
      <c r="H42" s="4" t="s">
        <v>19</v>
      </c>
      <c r="I42" s="8" t="n">
        <v>9471</v>
      </c>
      <c r="J42" s="8" t="n">
        <v>11194</v>
      </c>
      <c r="K42" s="9" t="n">
        <v>10521</v>
      </c>
      <c r="L42" s="10" t="n">
        <v>53.1</v>
      </c>
    </row>
    <row r="43" customFormat="false" ht="15" hidden="false" customHeight="false" outlineLevel="0" collapsed="false">
      <c r="A43" s="11" t="n">
        <v>40</v>
      </c>
      <c r="B43" s="12" t="n">
        <v>46195</v>
      </c>
      <c r="C43" s="13" t="s">
        <v>14</v>
      </c>
      <c r="D43" s="13" t="s">
        <v>15</v>
      </c>
      <c r="E43" s="13" t="s">
        <v>42</v>
      </c>
      <c r="F43" s="14" t="s">
        <v>28</v>
      </c>
      <c r="G43" s="13" t="s">
        <v>25</v>
      </c>
      <c r="H43" s="11" t="s">
        <v>19</v>
      </c>
      <c r="I43" s="15" t="n">
        <v>6974</v>
      </c>
      <c r="J43" s="15" t="n">
        <v>7977</v>
      </c>
      <c r="K43" s="16" t="n">
        <v>7750</v>
      </c>
      <c r="L43" s="17" t="n">
        <v>37</v>
      </c>
    </row>
    <row r="44" customFormat="false" ht="15" hidden="false" customHeight="false" outlineLevel="0" collapsed="false">
      <c r="A44" s="4" t="n">
        <v>41</v>
      </c>
      <c r="B44" s="5" t="n">
        <v>46195</v>
      </c>
      <c r="C44" s="6" t="s">
        <v>14</v>
      </c>
      <c r="D44" s="6" t="s">
        <v>15</v>
      </c>
      <c r="E44" s="6" t="s">
        <v>42</v>
      </c>
      <c r="F44" s="7" t="s">
        <v>29</v>
      </c>
      <c r="G44" s="6" t="s">
        <v>30</v>
      </c>
      <c r="H44" s="4" t="s">
        <v>19</v>
      </c>
      <c r="I44" s="8" t="n">
        <v>5864</v>
      </c>
      <c r="J44" s="8" t="n">
        <v>6903</v>
      </c>
      <c r="K44" s="9" t="n">
        <v>6099</v>
      </c>
      <c r="L44" s="10" t="n">
        <v>126.7</v>
      </c>
    </row>
    <row r="45" customFormat="false" ht="15" hidden="false" customHeight="false" outlineLevel="0" collapsed="false">
      <c r="A45" s="11" t="n">
        <v>42</v>
      </c>
      <c r="B45" s="12" t="n">
        <v>46195</v>
      </c>
      <c r="C45" s="13" t="s">
        <v>14</v>
      </c>
      <c r="D45" s="13" t="s">
        <v>15</v>
      </c>
      <c r="E45" s="13" t="s">
        <v>42</v>
      </c>
      <c r="F45" s="14" t="s">
        <v>31</v>
      </c>
      <c r="G45" s="13" t="s">
        <v>30</v>
      </c>
      <c r="H45" s="11" t="s">
        <v>19</v>
      </c>
      <c r="I45" s="15" t="n">
        <v>5508</v>
      </c>
      <c r="J45" s="15" t="n">
        <v>6138</v>
      </c>
      <c r="K45" s="16" t="n">
        <v>5858</v>
      </c>
      <c r="L45" s="17" t="n">
        <v>59.1</v>
      </c>
    </row>
    <row r="46" customFormat="false" ht="15" hidden="false" customHeight="false" outlineLevel="0" collapsed="false">
      <c r="A46" s="4" t="n">
        <v>43</v>
      </c>
      <c r="B46" s="5" t="n">
        <v>46195</v>
      </c>
      <c r="C46" s="6" t="s">
        <v>14</v>
      </c>
      <c r="D46" s="6" t="s">
        <v>15</v>
      </c>
      <c r="E46" s="6" t="s">
        <v>42</v>
      </c>
      <c r="F46" s="7" t="s">
        <v>32</v>
      </c>
      <c r="G46" s="6" t="s">
        <v>30</v>
      </c>
      <c r="H46" s="4" t="s">
        <v>19</v>
      </c>
      <c r="I46" s="8" t="n">
        <v>4780</v>
      </c>
      <c r="J46" s="8" t="n">
        <v>5550</v>
      </c>
      <c r="K46" s="9" t="n">
        <v>5132</v>
      </c>
      <c r="L46" s="10" t="n">
        <v>237.1</v>
      </c>
    </row>
    <row r="47" customFormat="false" ht="15" hidden="false" customHeight="false" outlineLevel="0" collapsed="false">
      <c r="A47" s="11" t="n">
        <v>44</v>
      </c>
      <c r="B47" s="12" t="n">
        <v>46195</v>
      </c>
      <c r="C47" s="13" t="s">
        <v>14</v>
      </c>
      <c r="D47" s="13" t="s">
        <v>15</v>
      </c>
      <c r="E47" s="13" t="s">
        <v>42</v>
      </c>
      <c r="F47" s="14" t="s">
        <v>33</v>
      </c>
      <c r="G47" s="13" t="s">
        <v>30</v>
      </c>
      <c r="H47" s="11" t="s">
        <v>19</v>
      </c>
      <c r="I47" s="15" t="n">
        <v>6853</v>
      </c>
      <c r="J47" s="15" t="n">
        <v>7888</v>
      </c>
      <c r="K47" s="16" t="n">
        <v>7639</v>
      </c>
      <c r="L47" s="17" t="n">
        <v>97.6</v>
      </c>
    </row>
    <row r="48" customFormat="false" ht="15" hidden="false" customHeight="false" outlineLevel="0" collapsed="false">
      <c r="A48" s="4" t="n">
        <v>45</v>
      </c>
      <c r="B48" s="5" t="n">
        <v>46195</v>
      </c>
      <c r="C48" s="6" t="s">
        <v>14</v>
      </c>
      <c r="D48" s="6" t="s">
        <v>15</v>
      </c>
      <c r="E48" s="6" t="s">
        <v>42</v>
      </c>
      <c r="F48" s="7" t="s">
        <v>34</v>
      </c>
      <c r="G48" s="6" t="s">
        <v>30</v>
      </c>
      <c r="H48" s="4" t="s">
        <v>19</v>
      </c>
      <c r="I48" s="8" t="n">
        <v>20948</v>
      </c>
      <c r="J48" s="8" t="n">
        <v>25327</v>
      </c>
      <c r="K48" s="9" t="n">
        <v>22719</v>
      </c>
      <c r="L48" s="10" t="n">
        <v>38.5</v>
      </c>
    </row>
    <row r="49" customFormat="false" ht="15" hidden="false" customHeight="false" outlineLevel="0" collapsed="false">
      <c r="A49" s="11" t="n">
        <v>46</v>
      </c>
      <c r="B49" s="12" t="n">
        <v>46195</v>
      </c>
      <c r="C49" s="13" t="s">
        <v>14</v>
      </c>
      <c r="D49" s="13" t="s">
        <v>15</v>
      </c>
      <c r="E49" s="13" t="s">
        <v>42</v>
      </c>
      <c r="F49" s="14" t="s">
        <v>35</v>
      </c>
      <c r="G49" s="13" t="s">
        <v>30</v>
      </c>
      <c r="H49" s="11" t="s">
        <v>19</v>
      </c>
      <c r="I49" s="15" t="n">
        <v>5267</v>
      </c>
      <c r="J49" s="15" t="n">
        <v>6355</v>
      </c>
      <c r="K49" s="16" t="n">
        <v>5926</v>
      </c>
      <c r="L49" s="17" t="n">
        <v>32</v>
      </c>
    </row>
    <row r="50" customFormat="false" ht="15" hidden="false" customHeight="false" outlineLevel="0" collapsed="false">
      <c r="A50" s="4" t="n">
        <v>47</v>
      </c>
      <c r="B50" s="5" t="n">
        <v>46195</v>
      </c>
      <c r="C50" s="6" t="s">
        <v>14</v>
      </c>
      <c r="D50" s="6" t="s">
        <v>43</v>
      </c>
      <c r="E50" s="6" t="s">
        <v>44</v>
      </c>
      <c r="F50" s="7" t="s">
        <v>17</v>
      </c>
      <c r="G50" s="6" t="s">
        <v>18</v>
      </c>
      <c r="H50" s="4" t="s">
        <v>19</v>
      </c>
      <c r="I50" s="8" t="n">
        <v>2136</v>
      </c>
      <c r="J50" s="8" t="n">
        <v>2567</v>
      </c>
      <c r="K50" s="9" t="n">
        <v>2381</v>
      </c>
      <c r="L50" s="10" t="n">
        <v>440.3</v>
      </c>
    </row>
    <row r="51" customFormat="false" ht="15" hidden="false" customHeight="false" outlineLevel="0" collapsed="false">
      <c r="A51" s="11" t="n">
        <v>48</v>
      </c>
      <c r="B51" s="12" t="n">
        <v>46195</v>
      </c>
      <c r="C51" s="13" t="s">
        <v>14</v>
      </c>
      <c r="D51" s="13" t="s">
        <v>43</v>
      </c>
      <c r="E51" s="13" t="s">
        <v>44</v>
      </c>
      <c r="F51" s="14" t="s">
        <v>20</v>
      </c>
      <c r="G51" s="13" t="s">
        <v>18</v>
      </c>
      <c r="H51" s="11" t="s">
        <v>19</v>
      </c>
      <c r="I51" s="15" t="n">
        <v>2166</v>
      </c>
      <c r="J51" s="15" t="n">
        <v>2736</v>
      </c>
      <c r="K51" s="16" t="n">
        <v>2400</v>
      </c>
      <c r="L51" s="17" t="n">
        <v>88.2</v>
      </c>
    </row>
    <row r="52" customFormat="false" ht="15" hidden="false" customHeight="false" outlineLevel="0" collapsed="false">
      <c r="A52" s="4" t="n">
        <v>49</v>
      </c>
      <c r="B52" s="5" t="n">
        <v>46195</v>
      </c>
      <c r="C52" s="6" t="s">
        <v>14</v>
      </c>
      <c r="D52" s="6" t="s">
        <v>43</v>
      </c>
      <c r="E52" s="6" t="s">
        <v>44</v>
      </c>
      <c r="F52" s="7" t="s">
        <v>21</v>
      </c>
      <c r="G52" s="6" t="s">
        <v>18</v>
      </c>
      <c r="H52" s="4" t="s">
        <v>19</v>
      </c>
      <c r="I52" s="8" t="n">
        <v>2556</v>
      </c>
      <c r="J52" s="8" t="n">
        <v>2823</v>
      </c>
      <c r="K52" s="9" t="n">
        <v>2750</v>
      </c>
      <c r="L52" s="10" t="n">
        <v>575.7</v>
      </c>
    </row>
    <row r="53" customFormat="false" ht="15" hidden="false" customHeight="false" outlineLevel="0" collapsed="false">
      <c r="A53" s="11" t="n">
        <v>50</v>
      </c>
      <c r="B53" s="12" t="n">
        <v>46195</v>
      </c>
      <c r="C53" s="13" t="s">
        <v>14</v>
      </c>
      <c r="D53" s="13" t="s">
        <v>43</v>
      </c>
      <c r="E53" s="13" t="s">
        <v>44</v>
      </c>
      <c r="F53" s="14" t="s">
        <v>22</v>
      </c>
      <c r="G53" s="13" t="s">
        <v>18</v>
      </c>
      <c r="H53" s="11" t="s">
        <v>19</v>
      </c>
      <c r="I53" s="15" t="n">
        <v>4160</v>
      </c>
      <c r="J53" s="15" t="n">
        <v>4905</v>
      </c>
      <c r="K53" s="16" t="n">
        <v>4301</v>
      </c>
      <c r="L53" s="17" t="n">
        <v>72.1</v>
      </c>
    </row>
    <row r="54" customFormat="false" ht="15" hidden="false" customHeight="false" outlineLevel="0" collapsed="false">
      <c r="A54" s="4" t="n">
        <v>51</v>
      </c>
      <c r="B54" s="5" t="n">
        <v>46195</v>
      </c>
      <c r="C54" s="6" t="s">
        <v>14</v>
      </c>
      <c r="D54" s="6" t="s">
        <v>43</v>
      </c>
      <c r="E54" s="6" t="s">
        <v>44</v>
      </c>
      <c r="F54" s="7" t="s">
        <v>23</v>
      </c>
      <c r="G54" s="6" t="s">
        <v>18</v>
      </c>
      <c r="H54" s="4" t="s">
        <v>19</v>
      </c>
      <c r="I54" s="8" t="n">
        <v>2039</v>
      </c>
      <c r="J54" s="8" t="n">
        <v>2312</v>
      </c>
      <c r="K54" s="9" t="n">
        <v>2207</v>
      </c>
      <c r="L54" s="10" t="n">
        <v>38.8</v>
      </c>
    </row>
    <row r="55" customFormat="false" ht="15" hidden="false" customHeight="false" outlineLevel="0" collapsed="false">
      <c r="A55" s="11" t="n">
        <v>52</v>
      </c>
      <c r="B55" s="12" t="n">
        <v>46195</v>
      </c>
      <c r="C55" s="13" t="s">
        <v>14</v>
      </c>
      <c r="D55" s="13" t="s">
        <v>43</v>
      </c>
      <c r="E55" s="13" t="s">
        <v>44</v>
      </c>
      <c r="F55" s="14" t="s">
        <v>24</v>
      </c>
      <c r="G55" s="13" t="s">
        <v>25</v>
      </c>
      <c r="H55" s="11" t="s">
        <v>19</v>
      </c>
      <c r="I55" s="15" t="n">
        <v>6252</v>
      </c>
      <c r="J55" s="15" t="n">
        <v>7853</v>
      </c>
      <c r="K55" s="16" t="n">
        <v>6840</v>
      </c>
      <c r="L55" s="17" t="n">
        <v>156.3</v>
      </c>
    </row>
    <row r="56" customFormat="false" ht="15" hidden="false" customHeight="false" outlineLevel="0" collapsed="false">
      <c r="A56" s="4" t="n">
        <v>53</v>
      </c>
      <c r="B56" s="5" t="n">
        <v>46195</v>
      </c>
      <c r="C56" s="6" t="s">
        <v>14</v>
      </c>
      <c r="D56" s="6" t="s">
        <v>43</v>
      </c>
      <c r="E56" s="6" t="s">
        <v>44</v>
      </c>
      <c r="F56" s="7" t="s">
        <v>26</v>
      </c>
      <c r="G56" s="6" t="s">
        <v>25</v>
      </c>
      <c r="H56" s="4" t="s">
        <v>19</v>
      </c>
      <c r="I56" s="8" t="n">
        <v>5470</v>
      </c>
      <c r="J56" s="8" t="n">
        <v>6384</v>
      </c>
      <c r="K56" s="9" t="n">
        <v>5939</v>
      </c>
      <c r="L56" s="10" t="n">
        <v>132.6</v>
      </c>
    </row>
    <row r="57" customFormat="false" ht="15" hidden="false" customHeight="false" outlineLevel="0" collapsed="false">
      <c r="A57" s="11" t="n">
        <v>54</v>
      </c>
      <c r="B57" s="12" t="n">
        <v>46195</v>
      </c>
      <c r="C57" s="13" t="s">
        <v>14</v>
      </c>
      <c r="D57" s="13" t="s">
        <v>43</v>
      </c>
      <c r="E57" s="13" t="s">
        <v>44</v>
      </c>
      <c r="F57" s="14" t="s">
        <v>27</v>
      </c>
      <c r="G57" s="13" t="s">
        <v>25</v>
      </c>
      <c r="H57" s="11" t="s">
        <v>19</v>
      </c>
      <c r="I57" s="15" t="n">
        <v>11242</v>
      </c>
      <c r="J57" s="15" t="n">
        <v>13459</v>
      </c>
      <c r="K57" s="16" t="n">
        <v>12088</v>
      </c>
      <c r="L57" s="17" t="n">
        <v>29.5</v>
      </c>
    </row>
    <row r="58" customFormat="false" ht="15" hidden="false" customHeight="false" outlineLevel="0" collapsed="false">
      <c r="A58" s="4" t="n">
        <v>55</v>
      </c>
      <c r="B58" s="5" t="n">
        <v>46195</v>
      </c>
      <c r="C58" s="6" t="s">
        <v>14</v>
      </c>
      <c r="D58" s="6" t="s">
        <v>43</v>
      </c>
      <c r="E58" s="6" t="s">
        <v>44</v>
      </c>
      <c r="F58" s="7" t="s">
        <v>28</v>
      </c>
      <c r="G58" s="6" t="s">
        <v>25</v>
      </c>
      <c r="H58" s="4" t="s">
        <v>19</v>
      </c>
      <c r="I58" s="8" t="n">
        <v>7580</v>
      </c>
      <c r="J58" s="8" t="n">
        <v>8584</v>
      </c>
      <c r="K58" s="9" t="n">
        <v>7837</v>
      </c>
      <c r="L58" s="10" t="n">
        <v>33.7</v>
      </c>
    </row>
    <row r="59" customFormat="false" ht="15" hidden="false" customHeight="false" outlineLevel="0" collapsed="false">
      <c r="A59" s="11" t="n">
        <v>56</v>
      </c>
      <c r="B59" s="12" t="n">
        <v>46195</v>
      </c>
      <c r="C59" s="13" t="s">
        <v>14</v>
      </c>
      <c r="D59" s="13" t="s">
        <v>43</v>
      </c>
      <c r="E59" s="13" t="s">
        <v>45</v>
      </c>
      <c r="F59" s="14" t="s">
        <v>17</v>
      </c>
      <c r="G59" s="13" t="s">
        <v>18</v>
      </c>
      <c r="H59" s="11" t="s">
        <v>19</v>
      </c>
      <c r="I59" s="15" t="n">
        <v>2150</v>
      </c>
      <c r="J59" s="15" t="n">
        <v>2502</v>
      </c>
      <c r="K59" s="16" t="n">
        <v>2305</v>
      </c>
      <c r="L59" s="17" t="n">
        <v>675.6</v>
      </c>
    </row>
    <row r="60" customFormat="false" ht="15" hidden="false" customHeight="false" outlineLevel="0" collapsed="false">
      <c r="A60" s="4" t="n">
        <v>57</v>
      </c>
      <c r="B60" s="5" t="n">
        <v>46195</v>
      </c>
      <c r="C60" s="6" t="s">
        <v>14</v>
      </c>
      <c r="D60" s="6" t="s">
        <v>43</v>
      </c>
      <c r="E60" s="6" t="s">
        <v>45</v>
      </c>
      <c r="F60" s="7" t="s">
        <v>20</v>
      </c>
      <c r="G60" s="6" t="s">
        <v>18</v>
      </c>
      <c r="H60" s="4" t="s">
        <v>19</v>
      </c>
      <c r="I60" s="8" t="n">
        <v>2273</v>
      </c>
      <c r="J60" s="8" t="n">
        <v>2424</v>
      </c>
      <c r="K60" s="9" t="n">
        <v>2352</v>
      </c>
      <c r="L60" s="10" t="n">
        <v>60.8</v>
      </c>
    </row>
    <row r="61" customFormat="false" ht="15" hidden="false" customHeight="false" outlineLevel="0" collapsed="false">
      <c r="A61" s="11" t="n">
        <v>58</v>
      </c>
      <c r="B61" s="12" t="n">
        <v>46195</v>
      </c>
      <c r="C61" s="13" t="s">
        <v>14</v>
      </c>
      <c r="D61" s="13" t="s">
        <v>43</v>
      </c>
      <c r="E61" s="13" t="s">
        <v>45</v>
      </c>
      <c r="F61" s="14" t="s">
        <v>21</v>
      </c>
      <c r="G61" s="13" t="s">
        <v>18</v>
      </c>
      <c r="H61" s="11" t="s">
        <v>19</v>
      </c>
      <c r="I61" s="15" t="n">
        <v>2484</v>
      </c>
      <c r="J61" s="15" t="n">
        <v>2774</v>
      </c>
      <c r="K61" s="16" t="n">
        <v>2640</v>
      </c>
      <c r="L61" s="17" t="n">
        <v>209.9</v>
      </c>
    </row>
    <row r="62" customFormat="false" ht="15" hidden="false" customHeight="false" outlineLevel="0" collapsed="false">
      <c r="A62" s="4" t="n">
        <v>59</v>
      </c>
      <c r="B62" s="5" t="n">
        <v>46195</v>
      </c>
      <c r="C62" s="6" t="s">
        <v>14</v>
      </c>
      <c r="D62" s="6" t="s">
        <v>43</v>
      </c>
      <c r="E62" s="6" t="s">
        <v>45</v>
      </c>
      <c r="F62" s="7" t="s">
        <v>22</v>
      </c>
      <c r="G62" s="6" t="s">
        <v>18</v>
      </c>
      <c r="H62" s="4" t="s">
        <v>19</v>
      </c>
      <c r="I62" s="8" t="n">
        <v>3913</v>
      </c>
      <c r="J62" s="8" t="n">
        <v>4759</v>
      </c>
      <c r="K62" s="9" t="n">
        <v>4337</v>
      </c>
      <c r="L62" s="10" t="n">
        <v>58.7</v>
      </c>
    </row>
    <row r="63" customFormat="false" ht="15" hidden="false" customHeight="false" outlineLevel="0" collapsed="false">
      <c r="A63" s="11" t="n">
        <v>60</v>
      </c>
      <c r="B63" s="12" t="n">
        <v>46195</v>
      </c>
      <c r="C63" s="13" t="s">
        <v>14</v>
      </c>
      <c r="D63" s="13" t="s">
        <v>43</v>
      </c>
      <c r="E63" s="13" t="s">
        <v>45</v>
      </c>
      <c r="F63" s="14" t="s">
        <v>23</v>
      </c>
      <c r="G63" s="13" t="s">
        <v>18</v>
      </c>
      <c r="H63" s="11" t="s">
        <v>19</v>
      </c>
      <c r="I63" s="15" t="n">
        <v>2146</v>
      </c>
      <c r="J63" s="15" t="n">
        <v>2503</v>
      </c>
      <c r="K63" s="16" t="n">
        <v>2301</v>
      </c>
      <c r="L63" s="17" t="n">
        <v>65.2</v>
      </c>
    </row>
    <row r="64" customFormat="false" ht="15" hidden="false" customHeight="false" outlineLevel="0" collapsed="false">
      <c r="A64" s="4" t="n">
        <v>61</v>
      </c>
      <c r="B64" s="5" t="n">
        <v>46195</v>
      </c>
      <c r="C64" s="6" t="s">
        <v>14</v>
      </c>
      <c r="D64" s="6" t="s">
        <v>43</v>
      </c>
      <c r="E64" s="6" t="s">
        <v>45</v>
      </c>
      <c r="F64" s="7" t="s">
        <v>24</v>
      </c>
      <c r="G64" s="6" t="s">
        <v>25</v>
      </c>
      <c r="H64" s="4" t="s">
        <v>19</v>
      </c>
      <c r="I64" s="8" t="n">
        <v>6623</v>
      </c>
      <c r="J64" s="8" t="n">
        <v>7370</v>
      </c>
      <c r="K64" s="9" t="n">
        <v>7012</v>
      </c>
      <c r="L64" s="10" t="n">
        <v>187.7</v>
      </c>
    </row>
    <row r="65" customFormat="false" ht="15" hidden="false" customHeight="false" outlineLevel="0" collapsed="false">
      <c r="A65" s="11" t="n">
        <v>62</v>
      </c>
      <c r="B65" s="12" t="n">
        <v>46195</v>
      </c>
      <c r="C65" s="13" t="s">
        <v>14</v>
      </c>
      <c r="D65" s="13" t="s">
        <v>43</v>
      </c>
      <c r="E65" s="13" t="s">
        <v>45</v>
      </c>
      <c r="F65" s="14" t="s">
        <v>26</v>
      </c>
      <c r="G65" s="13" t="s">
        <v>25</v>
      </c>
      <c r="H65" s="11" t="s">
        <v>19</v>
      </c>
      <c r="I65" s="15" t="n">
        <v>5294</v>
      </c>
      <c r="J65" s="15" t="n">
        <v>6194</v>
      </c>
      <c r="K65" s="16" t="n">
        <v>5837</v>
      </c>
      <c r="L65" s="17" t="n">
        <v>112.3</v>
      </c>
    </row>
    <row r="66" customFormat="false" ht="15" hidden="false" customHeight="false" outlineLevel="0" collapsed="false">
      <c r="A66" s="4" t="n">
        <v>63</v>
      </c>
      <c r="B66" s="5" t="n">
        <v>46195</v>
      </c>
      <c r="C66" s="6" t="s">
        <v>14</v>
      </c>
      <c r="D66" s="6" t="s">
        <v>43</v>
      </c>
      <c r="E66" s="6" t="s">
        <v>45</v>
      </c>
      <c r="F66" s="7" t="s">
        <v>27</v>
      </c>
      <c r="G66" s="6" t="s">
        <v>25</v>
      </c>
      <c r="H66" s="4" t="s">
        <v>19</v>
      </c>
      <c r="I66" s="8" t="n">
        <v>9612</v>
      </c>
      <c r="J66" s="8" t="n">
        <v>11997</v>
      </c>
      <c r="K66" s="9" t="n">
        <v>10434</v>
      </c>
      <c r="L66" s="10" t="n">
        <v>75.4</v>
      </c>
    </row>
    <row r="67" customFormat="false" ht="15" hidden="false" customHeight="false" outlineLevel="0" collapsed="false">
      <c r="A67" s="11" t="n">
        <v>64</v>
      </c>
      <c r="B67" s="12" t="n">
        <v>46195</v>
      </c>
      <c r="C67" s="13" t="s">
        <v>14</v>
      </c>
      <c r="D67" s="13" t="s">
        <v>43</v>
      </c>
      <c r="E67" s="13" t="s">
        <v>45</v>
      </c>
      <c r="F67" s="14" t="s">
        <v>28</v>
      </c>
      <c r="G67" s="13" t="s">
        <v>25</v>
      </c>
      <c r="H67" s="11" t="s">
        <v>19</v>
      </c>
      <c r="I67" s="15" t="n">
        <v>6786</v>
      </c>
      <c r="J67" s="15" t="n">
        <v>7958</v>
      </c>
      <c r="K67" s="16" t="n">
        <v>7547</v>
      </c>
      <c r="L67" s="17" t="n">
        <v>48</v>
      </c>
    </row>
    <row r="68" customFormat="false" ht="15" hidden="false" customHeight="false" outlineLevel="0" collapsed="false">
      <c r="A68" s="4" t="n">
        <v>65</v>
      </c>
      <c r="B68" s="5" t="n">
        <v>46195</v>
      </c>
      <c r="C68" s="6" t="s">
        <v>14</v>
      </c>
      <c r="D68" s="6" t="s">
        <v>43</v>
      </c>
      <c r="E68" s="6" t="s">
        <v>45</v>
      </c>
      <c r="F68" s="7" t="s">
        <v>29</v>
      </c>
      <c r="G68" s="6" t="s">
        <v>30</v>
      </c>
      <c r="H68" s="4" t="s">
        <v>19</v>
      </c>
      <c r="I68" s="8" t="n">
        <v>6489</v>
      </c>
      <c r="J68" s="8" t="n">
        <v>7225</v>
      </c>
      <c r="K68" s="9" t="n">
        <v>6765</v>
      </c>
      <c r="L68" s="10" t="n">
        <v>150.9</v>
      </c>
    </row>
    <row r="69" customFormat="false" ht="15" hidden="false" customHeight="false" outlineLevel="0" collapsed="false">
      <c r="A69" s="11" t="n">
        <v>66</v>
      </c>
      <c r="B69" s="12" t="n">
        <v>46195</v>
      </c>
      <c r="C69" s="13" t="s">
        <v>14</v>
      </c>
      <c r="D69" s="13" t="s">
        <v>43</v>
      </c>
      <c r="E69" s="13" t="s">
        <v>45</v>
      </c>
      <c r="F69" s="14" t="s">
        <v>31</v>
      </c>
      <c r="G69" s="13" t="s">
        <v>30</v>
      </c>
      <c r="H69" s="11" t="s">
        <v>19</v>
      </c>
      <c r="I69" s="15" t="n">
        <v>6075</v>
      </c>
      <c r="J69" s="15" t="n">
        <v>7081</v>
      </c>
      <c r="K69" s="16" t="n">
        <v>6440</v>
      </c>
      <c r="L69" s="17" t="n">
        <v>156.9</v>
      </c>
    </row>
    <row r="70" customFormat="false" ht="15" hidden="false" customHeight="false" outlineLevel="0" collapsed="false">
      <c r="A70" s="4" t="n">
        <v>67</v>
      </c>
      <c r="B70" s="5" t="n">
        <v>46195</v>
      </c>
      <c r="C70" s="6" t="s">
        <v>14</v>
      </c>
      <c r="D70" s="6" t="s">
        <v>43</v>
      </c>
      <c r="E70" s="6" t="s">
        <v>45</v>
      </c>
      <c r="F70" s="7" t="s">
        <v>32</v>
      </c>
      <c r="G70" s="6" t="s">
        <v>30</v>
      </c>
      <c r="H70" s="4" t="s">
        <v>19</v>
      </c>
      <c r="I70" s="8" t="n">
        <v>4330</v>
      </c>
      <c r="J70" s="8" t="n">
        <v>5537</v>
      </c>
      <c r="K70" s="9" t="n">
        <v>4916</v>
      </c>
      <c r="L70" s="10" t="n">
        <v>138.7</v>
      </c>
    </row>
    <row r="71" customFormat="false" ht="15" hidden="false" customHeight="false" outlineLevel="0" collapsed="false">
      <c r="A71" s="11" t="n">
        <v>68</v>
      </c>
      <c r="B71" s="12" t="n">
        <v>46195</v>
      </c>
      <c r="C71" s="13" t="s">
        <v>14</v>
      </c>
      <c r="D71" s="13" t="s">
        <v>43</v>
      </c>
      <c r="E71" s="13" t="s">
        <v>45</v>
      </c>
      <c r="F71" s="14" t="s">
        <v>33</v>
      </c>
      <c r="G71" s="13" t="s">
        <v>30</v>
      </c>
      <c r="H71" s="11" t="s">
        <v>19</v>
      </c>
      <c r="I71" s="15" t="n">
        <v>7206</v>
      </c>
      <c r="J71" s="15" t="n">
        <v>7751</v>
      </c>
      <c r="K71" s="16" t="n">
        <v>7471</v>
      </c>
      <c r="L71" s="17" t="n">
        <v>59.8</v>
      </c>
    </row>
    <row r="72" customFormat="false" ht="15" hidden="false" customHeight="false" outlineLevel="0" collapsed="false">
      <c r="A72" s="4" t="n">
        <v>69</v>
      </c>
      <c r="B72" s="5" t="n">
        <v>46195</v>
      </c>
      <c r="C72" s="6" t="s">
        <v>14</v>
      </c>
      <c r="D72" s="6" t="s">
        <v>43</v>
      </c>
      <c r="E72" s="6" t="s">
        <v>46</v>
      </c>
      <c r="F72" s="7" t="s">
        <v>17</v>
      </c>
      <c r="G72" s="6" t="s">
        <v>18</v>
      </c>
      <c r="H72" s="4" t="s">
        <v>19</v>
      </c>
      <c r="I72" s="8" t="n">
        <v>2304</v>
      </c>
      <c r="J72" s="8" t="n">
        <v>2723</v>
      </c>
      <c r="K72" s="9" t="n">
        <v>2577</v>
      </c>
      <c r="L72" s="10" t="n">
        <v>325</v>
      </c>
    </row>
    <row r="73" customFormat="false" ht="15" hidden="false" customHeight="false" outlineLevel="0" collapsed="false">
      <c r="A73" s="11" t="n">
        <v>70</v>
      </c>
      <c r="B73" s="12" t="n">
        <v>46195</v>
      </c>
      <c r="C73" s="13" t="s">
        <v>14</v>
      </c>
      <c r="D73" s="13" t="s">
        <v>43</v>
      </c>
      <c r="E73" s="13" t="s">
        <v>46</v>
      </c>
      <c r="F73" s="14" t="s">
        <v>20</v>
      </c>
      <c r="G73" s="13" t="s">
        <v>18</v>
      </c>
      <c r="H73" s="11" t="s">
        <v>19</v>
      </c>
      <c r="I73" s="15" t="n">
        <v>2284</v>
      </c>
      <c r="J73" s="15" t="n">
        <v>2742</v>
      </c>
      <c r="K73" s="16" t="n">
        <v>2425</v>
      </c>
      <c r="L73" s="17" t="n">
        <v>94.9</v>
      </c>
    </row>
    <row r="74" customFormat="false" ht="15" hidden="false" customHeight="false" outlineLevel="0" collapsed="false">
      <c r="A74" s="4" t="n">
        <v>71</v>
      </c>
      <c r="B74" s="5" t="n">
        <v>46195</v>
      </c>
      <c r="C74" s="6" t="s">
        <v>14</v>
      </c>
      <c r="D74" s="6" t="s">
        <v>43</v>
      </c>
      <c r="E74" s="6" t="s">
        <v>46</v>
      </c>
      <c r="F74" s="7" t="s">
        <v>21</v>
      </c>
      <c r="G74" s="6" t="s">
        <v>18</v>
      </c>
      <c r="H74" s="4" t="s">
        <v>19</v>
      </c>
      <c r="I74" s="8" t="n">
        <v>2400</v>
      </c>
      <c r="J74" s="8" t="n">
        <v>2562</v>
      </c>
      <c r="K74" s="9" t="n">
        <v>2496</v>
      </c>
      <c r="L74" s="10" t="n">
        <v>423.9</v>
      </c>
    </row>
    <row r="75" customFormat="false" ht="15" hidden="false" customHeight="false" outlineLevel="0" collapsed="false">
      <c r="A75" s="11" t="n">
        <v>72</v>
      </c>
      <c r="B75" s="12" t="n">
        <v>46195</v>
      </c>
      <c r="C75" s="13" t="s">
        <v>14</v>
      </c>
      <c r="D75" s="13" t="s">
        <v>43</v>
      </c>
      <c r="E75" s="13" t="s">
        <v>46</v>
      </c>
      <c r="F75" s="14" t="s">
        <v>22</v>
      </c>
      <c r="G75" s="13" t="s">
        <v>18</v>
      </c>
      <c r="H75" s="11" t="s">
        <v>19</v>
      </c>
      <c r="I75" s="15" t="n">
        <v>3798</v>
      </c>
      <c r="J75" s="15" t="n">
        <v>4569</v>
      </c>
      <c r="K75" s="16" t="n">
        <v>4297</v>
      </c>
      <c r="L75" s="17" t="n">
        <v>30.2</v>
      </c>
    </row>
    <row r="76" customFormat="false" ht="15" hidden="false" customHeight="false" outlineLevel="0" collapsed="false">
      <c r="A76" s="4" t="n">
        <v>73</v>
      </c>
      <c r="B76" s="5" t="n">
        <v>46195</v>
      </c>
      <c r="C76" s="6" t="s">
        <v>14</v>
      </c>
      <c r="D76" s="6" t="s">
        <v>43</v>
      </c>
      <c r="E76" s="6" t="s">
        <v>46</v>
      </c>
      <c r="F76" s="7" t="s">
        <v>23</v>
      </c>
      <c r="G76" s="6" t="s">
        <v>18</v>
      </c>
      <c r="H76" s="4" t="s">
        <v>19</v>
      </c>
      <c r="I76" s="8" t="n">
        <v>2245</v>
      </c>
      <c r="J76" s="8" t="n">
        <v>2704</v>
      </c>
      <c r="K76" s="9" t="n">
        <v>2510</v>
      </c>
      <c r="L76" s="10" t="n">
        <v>53.9</v>
      </c>
    </row>
    <row r="77" customFormat="false" ht="15" hidden="false" customHeight="false" outlineLevel="0" collapsed="false">
      <c r="A77" s="11" t="n">
        <v>74</v>
      </c>
      <c r="B77" s="12" t="n">
        <v>46195</v>
      </c>
      <c r="C77" s="13" t="s">
        <v>14</v>
      </c>
      <c r="D77" s="13" t="s">
        <v>43</v>
      </c>
      <c r="E77" s="13" t="s">
        <v>46</v>
      </c>
      <c r="F77" s="14" t="s">
        <v>24</v>
      </c>
      <c r="G77" s="13" t="s">
        <v>25</v>
      </c>
      <c r="H77" s="11" t="s">
        <v>19</v>
      </c>
      <c r="I77" s="15" t="n">
        <v>6615</v>
      </c>
      <c r="J77" s="15" t="n">
        <v>8494</v>
      </c>
      <c r="K77" s="16" t="n">
        <v>7432</v>
      </c>
      <c r="L77" s="17" t="n">
        <v>258.7</v>
      </c>
    </row>
    <row r="78" customFormat="false" ht="15" hidden="false" customHeight="false" outlineLevel="0" collapsed="false">
      <c r="A78" s="4" t="n">
        <v>75</v>
      </c>
      <c r="B78" s="5" t="n">
        <v>46195</v>
      </c>
      <c r="C78" s="6" t="s">
        <v>14</v>
      </c>
      <c r="D78" s="6" t="s">
        <v>43</v>
      </c>
      <c r="E78" s="6" t="s">
        <v>46</v>
      </c>
      <c r="F78" s="7" t="s">
        <v>26</v>
      </c>
      <c r="G78" s="6" t="s">
        <v>25</v>
      </c>
      <c r="H78" s="4" t="s">
        <v>19</v>
      </c>
      <c r="I78" s="8" t="n">
        <v>4736</v>
      </c>
      <c r="J78" s="8" t="n">
        <v>5727</v>
      </c>
      <c r="K78" s="9" t="n">
        <v>5362</v>
      </c>
      <c r="L78" s="10" t="n">
        <v>92.6</v>
      </c>
    </row>
    <row r="79" customFormat="false" ht="15" hidden="false" customHeight="false" outlineLevel="0" collapsed="false">
      <c r="A79" s="11" t="n">
        <v>76</v>
      </c>
      <c r="B79" s="12" t="n">
        <v>46195</v>
      </c>
      <c r="C79" s="13" t="s">
        <v>14</v>
      </c>
      <c r="D79" s="13" t="s">
        <v>43</v>
      </c>
      <c r="E79" s="13" t="s">
        <v>46</v>
      </c>
      <c r="F79" s="14" t="s">
        <v>27</v>
      </c>
      <c r="G79" s="13" t="s">
        <v>25</v>
      </c>
      <c r="H79" s="11" t="s">
        <v>19</v>
      </c>
      <c r="I79" s="15" t="n">
        <v>9787</v>
      </c>
      <c r="J79" s="15" t="n">
        <v>11820</v>
      </c>
      <c r="K79" s="16" t="n">
        <v>11074</v>
      </c>
      <c r="L79" s="17" t="n">
        <v>71.9</v>
      </c>
    </row>
    <row r="80" customFormat="false" ht="15" hidden="false" customHeight="false" outlineLevel="0" collapsed="false">
      <c r="A80" s="4" t="n">
        <v>77</v>
      </c>
      <c r="B80" s="5" t="n">
        <v>46195</v>
      </c>
      <c r="C80" s="6" t="s">
        <v>14</v>
      </c>
      <c r="D80" s="6" t="s">
        <v>43</v>
      </c>
      <c r="E80" s="6" t="s">
        <v>46</v>
      </c>
      <c r="F80" s="7" t="s">
        <v>28</v>
      </c>
      <c r="G80" s="6" t="s">
        <v>25</v>
      </c>
      <c r="H80" s="4" t="s">
        <v>19</v>
      </c>
      <c r="I80" s="8" t="n">
        <v>7698</v>
      </c>
      <c r="J80" s="8" t="n">
        <v>9291</v>
      </c>
      <c r="K80" s="9" t="n">
        <v>8712</v>
      </c>
      <c r="L80" s="10" t="n">
        <v>38.8</v>
      </c>
    </row>
    <row r="81" customFormat="false" ht="15" hidden="false" customHeight="false" outlineLevel="0" collapsed="false">
      <c r="A81" s="11" t="n">
        <v>78</v>
      </c>
      <c r="B81" s="12" t="n">
        <v>46195</v>
      </c>
      <c r="C81" s="13" t="s">
        <v>14</v>
      </c>
      <c r="D81" s="13" t="s">
        <v>47</v>
      </c>
      <c r="E81" s="13" t="s">
        <v>48</v>
      </c>
      <c r="F81" s="14" t="s">
        <v>17</v>
      </c>
      <c r="G81" s="13" t="s">
        <v>18</v>
      </c>
      <c r="H81" s="11" t="s">
        <v>19</v>
      </c>
      <c r="I81" s="15" t="n">
        <v>2207</v>
      </c>
      <c r="J81" s="15" t="n">
        <v>2636</v>
      </c>
      <c r="K81" s="16" t="n">
        <v>2323</v>
      </c>
      <c r="L81" s="17" t="n">
        <v>431.9</v>
      </c>
    </row>
    <row r="82" customFormat="false" ht="15" hidden="false" customHeight="false" outlineLevel="0" collapsed="false">
      <c r="A82" s="4" t="n">
        <v>79</v>
      </c>
      <c r="B82" s="5" t="n">
        <v>46195</v>
      </c>
      <c r="C82" s="6" t="s">
        <v>14</v>
      </c>
      <c r="D82" s="6" t="s">
        <v>47</v>
      </c>
      <c r="E82" s="6" t="s">
        <v>48</v>
      </c>
      <c r="F82" s="7" t="s">
        <v>20</v>
      </c>
      <c r="G82" s="6" t="s">
        <v>18</v>
      </c>
      <c r="H82" s="4" t="s">
        <v>19</v>
      </c>
      <c r="I82" s="8" t="n">
        <v>2267</v>
      </c>
      <c r="J82" s="8" t="n">
        <v>2893</v>
      </c>
      <c r="K82" s="9" t="n">
        <v>2536</v>
      </c>
      <c r="L82" s="10" t="n">
        <v>133.2</v>
      </c>
    </row>
    <row r="83" customFormat="false" ht="15" hidden="false" customHeight="false" outlineLevel="0" collapsed="false">
      <c r="A83" s="11" t="n">
        <v>80</v>
      </c>
      <c r="B83" s="12" t="n">
        <v>46195</v>
      </c>
      <c r="C83" s="13" t="s">
        <v>14</v>
      </c>
      <c r="D83" s="13" t="s">
        <v>47</v>
      </c>
      <c r="E83" s="13" t="s">
        <v>48</v>
      </c>
      <c r="F83" s="14" t="s">
        <v>21</v>
      </c>
      <c r="G83" s="13" t="s">
        <v>18</v>
      </c>
      <c r="H83" s="11" t="s">
        <v>19</v>
      </c>
      <c r="I83" s="15" t="n">
        <v>2666</v>
      </c>
      <c r="J83" s="15" t="n">
        <v>3175</v>
      </c>
      <c r="K83" s="16" t="n">
        <v>2798</v>
      </c>
      <c r="L83" s="17" t="n">
        <v>170.3</v>
      </c>
    </row>
    <row r="84" customFormat="false" ht="15" hidden="false" customHeight="false" outlineLevel="0" collapsed="false">
      <c r="A84" s="4" t="n">
        <v>81</v>
      </c>
      <c r="B84" s="5" t="n">
        <v>46195</v>
      </c>
      <c r="C84" s="6" t="s">
        <v>14</v>
      </c>
      <c r="D84" s="6" t="s">
        <v>47</v>
      </c>
      <c r="E84" s="6" t="s">
        <v>48</v>
      </c>
      <c r="F84" s="7" t="s">
        <v>22</v>
      </c>
      <c r="G84" s="6" t="s">
        <v>18</v>
      </c>
      <c r="H84" s="4" t="s">
        <v>19</v>
      </c>
      <c r="I84" s="8" t="n">
        <v>3855</v>
      </c>
      <c r="J84" s="8" t="n">
        <v>4834</v>
      </c>
      <c r="K84" s="9" t="n">
        <v>4237</v>
      </c>
      <c r="L84" s="10" t="n">
        <v>69.4</v>
      </c>
    </row>
    <row r="85" customFormat="false" ht="15" hidden="false" customHeight="false" outlineLevel="0" collapsed="false">
      <c r="A85" s="11" t="n">
        <v>82</v>
      </c>
      <c r="B85" s="12" t="n">
        <v>46195</v>
      </c>
      <c r="C85" s="13" t="s">
        <v>14</v>
      </c>
      <c r="D85" s="13" t="s">
        <v>47</v>
      </c>
      <c r="E85" s="13" t="s">
        <v>48</v>
      </c>
      <c r="F85" s="14" t="s">
        <v>23</v>
      </c>
      <c r="G85" s="13" t="s">
        <v>18</v>
      </c>
      <c r="H85" s="11" t="s">
        <v>19</v>
      </c>
      <c r="I85" s="15" t="n">
        <v>2351</v>
      </c>
      <c r="J85" s="15" t="n">
        <v>2602</v>
      </c>
      <c r="K85" s="16" t="n">
        <v>2467</v>
      </c>
      <c r="L85" s="17" t="n">
        <v>57.9</v>
      </c>
    </row>
    <row r="86" customFormat="false" ht="15" hidden="false" customHeight="false" outlineLevel="0" collapsed="false">
      <c r="A86" s="4" t="n">
        <v>83</v>
      </c>
      <c r="B86" s="5" t="n">
        <v>46195</v>
      </c>
      <c r="C86" s="6" t="s">
        <v>14</v>
      </c>
      <c r="D86" s="6" t="s">
        <v>47</v>
      </c>
      <c r="E86" s="6" t="s">
        <v>48</v>
      </c>
      <c r="F86" s="7" t="s">
        <v>24</v>
      </c>
      <c r="G86" s="6" t="s">
        <v>25</v>
      </c>
      <c r="H86" s="4" t="s">
        <v>19</v>
      </c>
      <c r="I86" s="8" t="n">
        <v>6612</v>
      </c>
      <c r="J86" s="8" t="n">
        <v>7806</v>
      </c>
      <c r="K86" s="9" t="n">
        <v>6898</v>
      </c>
      <c r="L86" s="10" t="n">
        <v>146</v>
      </c>
    </row>
    <row r="87" customFormat="false" ht="15" hidden="false" customHeight="false" outlineLevel="0" collapsed="false">
      <c r="A87" s="11" t="n">
        <v>84</v>
      </c>
      <c r="B87" s="12" t="n">
        <v>46195</v>
      </c>
      <c r="C87" s="13" t="s">
        <v>14</v>
      </c>
      <c r="D87" s="13" t="s">
        <v>47</v>
      </c>
      <c r="E87" s="13" t="s">
        <v>48</v>
      </c>
      <c r="F87" s="14" t="s">
        <v>26</v>
      </c>
      <c r="G87" s="13" t="s">
        <v>25</v>
      </c>
      <c r="H87" s="11" t="s">
        <v>19</v>
      </c>
      <c r="I87" s="15" t="n">
        <v>5500</v>
      </c>
      <c r="J87" s="15" t="n">
        <v>6325</v>
      </c>
      <c r="K87" s="16" t="n">
        <v>5969</v>
      </c>
      <c r="L87" s="17" t="n">
        <v>116.6</v>
      </c>
    </row>
    <row r="88" customFormat="false" ht="15" hidden="false" customHeight="false" outlineLevel="0" collapsed="false">
      <c r="A88" s="4" t="n">
        <v>85</v>
      </c>
      <c r="B88" s="5" t="n">
        <v>46195</v>
      </c>
      <c r="C88" s="6" t="s">
        <v>14</v>
      </c>
      <c r="D88" s="6" t="s">
        <v>47</v>
      </c>
      <c r="E88" s="6" t="s">
        <v>48</v>
      </c>
      <c r="F88" s="7" t="s">
        <v>27</v>
      </c>
      <c r="G88" s="6" t="s">
        <v>25</v>
      </c>
      <c r="H88" s="4" t="s">
        <v>19</v>
      </c>
      <c r="I88" s="8" t="n">
        <v>9449</v>
      </c>
      <c r="J88" s="8" t="n">
        <v>11195</v>
      </c>
      <c r="K88" s="9" t="n">
        <v>10712</v>
      </c>
      <c r="L88" s="10" t="n">
        <v>38.9</v>
      </c>
    </row>
    <row r="89" customFormat="false" ht="15" hidden="false" customHeight="false" outlineLevel="0" collapsed="false">
      <c r="A89" s="11" t="n">
        <v>86</v>
      </c>
      <c r="B89" s="12" t="n">
        <v>46195</v>
      </c>
      <c r="C89" s="13" t="s">
        <v>14</v>
      </c>
      <c r="D89" s="13" t="s">
        <v>47</v>
      </c>
      <c r="E89" s="13" t="s">
        <v>48</v>
      </c>
      <c r="F89" s="14" t="s">
        <v>28</v>
      </c>
      <c r="G89" s="13" t="s">
        <v>25</v>
      </c>
      <c r="H89" s="11" t="s">
        <v>19</v>
      </c>
      <c r="I89" s="15" t="n">
        <v>8289</v>
      </c>
      <c r="J89" s="15" t="n">
        <v>9054</v>
      </c>
      <c r="K89" s="16" t="n">
        <v>8572</v>
      </c>
      <c r="L89" s="17" t="n">
        <v>37.3</v>
      </c>
    </row>
    <row r="90" customFormat="false" ht="15" hidden="false" customHeight="false" outlineLevel="0" collapsed="false">
      <c r="A90" s="4" t="n">
        <v>87</v>
      </c>
      <c r="B90" s="5" t="n">
        <v>46195</v>
      </c>
      <c r="C90" s="6" t="s">
        <v>14</v>
      </c>
      <c r="D90" s="6" t="s">
        <v>47</v>
      </c>
      <c r="E90" s="6" t="s">
        <v>48</v>
      </c>
      <c r="F90" s="7" t="s">
        <v>29</v>
      </c>
      <c r="G90" s="6" t="s">
        <v>30</v>
      </c>
      <c r="H90" s="4" t="s">
        <v>19</v>
      </c>
      <c r="I90" s="8" t="n">
        <v>6075</v>
      </c>
      <c r="J90" s="8" t="n">
        <v>6837</v>
      </c>
      <c r="K90" s="9" t="n">
        <v>6274</v>
      </c>
      <c r="L90" s="10" t="n">
        <v>368.3</v>
      </c>
    </row>
    <row r="91" customFormat="false" ht="15" hidden="false" customHeight="false" outlineLevel="0" collapsed="false">
      <c r="A91" s="11" t="n">
        <v>88</v>
      </c>
      <c r="B91" s="12" t="n">
        <v>46195</v>
      </c>
      <c r="C91" s="13" t="s">
        <v>14</v>
      </c>
      <c r="D91" s="13" t="s">
        <v>47</v>
      </c>
      <c r="E91" s="13" t="s">
        <v>48</v>
      </c>
      <c r="F91" s="14" t="s">
        <v>31</v>
      </c>
      <c r="G91" s="13" t="s">
        <v>30</v>
      </c>
      <c r="H91" s="11" t="s">
        <v>19</v>
      </c>
      <c r="I91" s="15" t="n">
        <v>5551</v>
      </c>
      <c r="J91" s="15" t="n">
        <v>5986</v>
      </c>
      <c r="K91" s="16" t="n">
        <v>5738</v>
      </c>
      <c r="L91" s="17" t="n">
        <v>154.1</v>
      </c>
    </row>
    <row r="92" customFormat="false" ht="15" hidden="false" customHeight="false" outlineLevel="0" collapsed="false">
      <c r="A92" s="4" t="n">
        <v>89</v>
      </c>
      <c r="B92" s="5" t="n">
        <v>46195</v>
      </c>
      <c r="C92" s="6" t="s">
        <v>14</v>
      </c>
      <c r="D92" s="6" t="s">
        <v>47</v>
      </c>
      <c r="E92" s="6" t="s">
        <v>48</v>
      </c>
      <c r="F92" s="7" t="s">
        <v>32</v>
      </c>
      <c r="G92" s="6" t="s">
        <v>30</v>
      </c>
      <c r="H92" s="4" t="s">
        <v>19</v>
      </c>
      <c r="I92" s="8" t="n">
        <v>4109</v>
      </c>
      <c r="J92" s="8" t="n">
        <v>4971</v>
      </c>
      <c r="K92" s="9" t="n">
        <v>4618</v>
      </c>
      <c r="L92" s="10" t="n">
        <v>225.7</v>
      </c>
    </row>
    <row r="93" customFormat="false" ht="15" hidden="false" customHeight="false" outlineLevel="0" collapsed="false">
      <c r="A93" s="11" t="n">
        <v>90</v>
      </c>
      <c r="B93" s="12" t="n">
        <v>46195</v>
      </c>
      <c r="C93" s="13" t="s">
        <v>14</v>
      </c>
      <c r="D93" s="13" t="s">
        <v>47</v>
      </c>
      <c r="E93" s="13" t="s">
        <v>48</v>
      </c>
      <c r="F93" s="14" t="s">
        <v>33</v>
      </c>
      <c r="G93" s="13" t="s">
        <v>30</v>
      </c>
      <c r="H93" s="11" t="s">
        <v>19</v>
      </c>
      <c r="I93" s="15" t="n">
        <v>6602</v>
      </c>
      <c r="J93" s="15" t="n">
        <v>7675</v>
      </c>
      <c r="K93" s="16" t="n">
        <v>7064</v>
      </c>
      <c r="L93" s="17" t="n">
        <v>92.1</v>
      </c>
    </row>
    <row r="94" customFormat="false" ht="15" hidden="false" customHeight="false" outlineLevel="0" collapsed="false">
      <c r="A94" s="4" t="n">
        <v>91</v>
      </c>
      <c r="B94" s="5" t="n">
        <v>46195</v>
      </c>
      <c r="C94" s="6" t="s">
        <v>14</v>
      </c>
      <c r="D94" s="6" t="s">
        <v>47</v>
      </c>
      <c r="E94" s="6" t="s">
        <v>48</v>
      </c>
      <c r="F94" s="7" t="s">
        <v>34</v>
      </c>
      <c r="G94" s="6" t="s">
        <v>30</v>
      </c>
      <c r="H94" s="4" t="s">
        <v>19</v>
      </c>
      <c r="I94" s="8" t="n">
        <v>21022</v>
      </c>
      <c r="J94" s="8" t="n">
        <v>25893</v>
      </c>
      <c r="K94" s="9" t="n">
        <v>23282</v>
      </c>
      <c r="L94" s="10" t="n">
        <v>14.1</v>
      </c>
    </row>
    <row r="95" customFormat="false" ht="15" hidden="false" customHeight="false" outlineLevel="0" collapsed="false">
      <c r="A95" s="11" t="n">
        <v>92</v>
      </c>
      <c r="B95" s="12" t="n">
        <v>46195</v>
      </c>
      <c r="C95" s="13" t="s">
        <v>14</v>
      </c>
      <c r="D95" s="13" t="s">
        <v>47</v>
      </c>
      <c r="E95" s="13" t="s">
        <v>48</v>
      </c>
      <c r="F95" s="14" t="s">
        <v>35</v>
      </c>
      <c r="G95" s="13" t="s">
        <v>30</v>
      </c>
      <c r="H95" s="11" t="s">
        <v>19</v>
      </c>
      <c r="I95" s="15" t="n">
        <v>5455</v>
      </c>
      <c r="J95" s="15" t="n">
        <v>6542</v>
      </c>
      <c r="K95" s="16" t="n">
        <v>5875</v>
      </c>
      <c r="L95" s="17" t="n">
        <v>49.8</v>
      </c>
    </row>
    <row r="96" customFormat="false" ht="15" hidden="false" customHeight="false" outlineLevel="0" collapsed="false">
      <c r="A96" s="4" t="n">
        <v>93</v>
      </c>
      <c r="B96" s="5" t="n">
        <v>46195</v>
      </c>
      <c r="C96" s="6" t="s">
        <v>14</v>
      </c>
      <c r="D96" s="6" t="s">
        <v>47</v>
      </c>
      <c r="E96" s="6" t="s">
        <v>48</v>
      </c>
      <c r="F96" s="7" t="s">
        <v>36</v>
      </c>
      <c r="G96" s="6" t="s">
        <v>37</v>
      </c>
      <c r="H96" s="4" t="s">
        <v>19</v>
      </c>
      <c r="I96" s="8" t="n">
        <v>6972</v>
      </c>
      <c r="J96" s="8" t="n">
        <v>7860</v>
      </c>
      <c r="K96" s="9" t="n">
        <v>7638</v>
      </c>
      <c r="L96" s="10" t="n">
        <v>143.2</v>
      </c>
    </row>
    <row r="97" customFormat="false" ht="15" hidden="false" customHeight="false" outlineLevel="0" collapsed="false">
      <c r="A97" s="11" t="n">
        <v>94</v>
      </c>
      <c r="B97" s="12" t="n">
        <v>46195</v>
      </c>
      <c r="C97" s="13" t="s">
        <v>14</v>
      </c>
      <c r="D97" s="13" t="s">
        <v>47</v>
      </c>
      <c r="E97" s="13" t="s">
        <v>48</v>
      </c>
      <c r="F97" s="14" t="s">
        <v>38</v>
      </c>
      <c r="G97" s="13" t="s">
        <v>39</v>
      </c>
      <c r="H97" s="11" t="s">
        <v>19</v>
      </c>
      <c r="I97" s="15" t="n">
        <v>1325</v>
      </c>
      <c r="J97" s="15" t="n">
        <v>1649</v>
      </c>
      <c r="K97" s="16" t="n">
        <v>1459</v>
      </c>
      <c r="L97" s="17" t="n">
        <v>491</v>
      </c>
    </row>
    <row r="98" customFormat="false" ht="15" hidden="false" customHeight="false" outlineLevel="0" collapsed="false">
      <c r="A98" s="4" t="n">
        <v>95</v>
      </c>
      <c r="B98" s="5" t="n">
        <v>46195</v>
      </c>
      <c r="C98" s="6" t="s">
        <v>14</v>
      </c>
      <c r="D98" s="6" t="s">
        <v>47</v>
      </c>
      <c r="E98" s="6" t="s">
        <v>48</v>
      </c>
      <c r="F98" s="7" t="s">
        <v>40</v>
      </c>
      <c r="G98" s="6" t="s">
        <v>39</v>
      </c>
      <c r="H98" s="4" t="s">
        <v>19</v>
      </c>
      <c r="I98" s="8" t="n">
        <v>1934</v>
      </c>
      <c r="J98" s="8" t="n">
        <v>2286</v>
      </c>
      <c r="K98" s="9" t="n">
        <v>2130</v>
      </c>
      <c r="L98" s="10" t="n">
        <v>220</v>
      </c>
    </row>
    <row r="99" customFormat="false" ht="15" hidden="false" customHeight="false" outlineLevel="0" collapsed="false">
      <c r="A99" s="11" t="n">
        <v>96</v>
      </c>
      <c r="B99" s="12" t="n">
        <v>46195</v>
      </c>
      <c r="C99" s="13" t="s">
        <v>14</v>
      </c>
      <c r="D99" s="13" t="s">
        <v>47</v>
      </c>
      <c r="E99" s="13" t="s">
        <v>49</v>
      </c>
      <c r="F99" s="14" t="s">
        <v>17</v>
      </c>
      <c r="G99" s="13" t="s">
        <v>18</v>
      </c>
      <c r="H99" s="11" t="s">
        <v>19</v>
      </c>
      <c r="I99" s="15" t="n">
        <v>2246</v>
      </c>
      <c r="J99" s="15" t="n">
        <v>2769</v>
      </c>
      <c r="K99" s="16" t="n">
        <v>2503</v>
      </c>
      <c r="L99" s="17" t="n">
        <v>417</v>
      </c>
    </row>
    <row r="100" customFormat="false" ht="15" hidden="false" customHeight="false" outlineLevel="0" collapsed="false">
      <c r="A100" s="4" t="n">
        <v>97</v>
      </c>
      <c r="B100" s="5" t="n">
        <v>46195</v>
      </c>
      <c r="C100" s="6" t="s">
        <v>14</v>
      </c>
      <c r="D100" s="6" t="s">
        <v>47</v>
      </c>
      <c r="E100" s="6" t="s">
        <v>49</v>
      </c>
      <c r="F100" s="7" t="s">
        <v>20</v>
      </c>
      <c r="G100" s="6" t="s">
        <v>18</v>
      </c>
      <c r="H100" s="4" t="s">
        <v>19</v>
      </c>
      <c r="I100" s="8" t="n">
        <v>2317</v>
      </c>
      <c r="J100" s="8" t="n">
        <v>2830</v>
      </c>
      <c r="K100" s="9" t="n">
        <v>2587</v>
      </c>
      <c r="L100" s="10" t="n">
        <v>84.3</v>
      </c>
    </row>
    <row r="101" customFormat="false" ht="15" hidden="false" customHeight="false" outlineLevel="0" collapsed="false">
      <c r="A101" s="11" t="n">
        <v>98</v>
      </c>
      <c r="B101" s="12" t="n">
        <v>46195</v>
      </c>
      <c r="C101" s="13" t="s">
        <v>14</v>
      </c>
      <c r="D101" s="13" t="s">
        <v>47</v>
      </c>
      <c r="E101" s="13" t="s">
        <v>49</v>
      </c>
      <c r="F101" s="14" t="s">
        <v>21</v>
      </c>
      <c r="G101" s="13" t="s">
        <v>18</v>
      </c>
      <c r="H101" s="11" t="s">
        <v>19</v>
      </c>
      <c r="I101" s="15" t="n">
        <v>2485</v>
      </c>
      <c r="J101" s="15" t="n">
        <v>2869</v>
      </c>
      <c r="K101" s="16" t="n">
        <v>2739</v>
      </c>
      <c r="L101" s="17" t="n">
        <v>486.9</v>
      </c>
    </row>
    <row r="102" customFormat="false" ht="15" hidden="false" customHeight="false" outlineLevel="0" collapsed="false">
      <c r="A102" s="4" t="n">
        <v>99</v>
      </c>
      <c r="B102" s="5" t="n">
        <v>46195</v>
      </c>
      <c r="C102" s="6" t="s">
        <v>14</v>
      </c>
      <c r="D102" s="6" t="s">
        <v>47</v>
      </c>
      <c r="E102" s="6" t="s">
        <v>49</v>
      </c>
      <c r="F102" s="7" t="s">
        <v>22</v>
      </c>
      <c r="G102" s="6" t="s">
        <v>18</v>
      </c>
      <c r="H102" s="4" t="s">
        <v>19</v>
      </c>
      <c r="I102" s="8" t="n">
        <v>3774</v>
      </c>
      <c r="J102" s="8" t="n">
        <v>4473</v>
      </c>
      <c r="K102" s="9" t="n">
        <v>4152</v>
      </c>
      <c r="L102" s="10" t="n">
        <v>62</v>
      </c>
    </row>
    <row r="103" customFormat="false" ht="15" hidden="false" customHeight="false" outlineLevel="0" collapsed="false">
      <c r="A103" s="11" t="n">
        <v>100</v>
      </c>
      <c r="B103" s="12" t="n">
        <v>46195</v>
      </c>
      <c r="C103" s="13" t="s">
        <v>14</v>
      </c>
      <c r="D103" s="13" t="s">
        <v>47</v>
      </c>
      <c r="E103" s="13" t="s">
        <v>49</v>
      </c>
      <c r="F103" s="14" t="s">
        <v>23</v>
      </c>
      <c r="G103" s="13" t="s">
        <v>18</v>
      </c>
      <c r="H103" s="11" t="s">
        <v>19</v>
      </c>
      <c r="I103" s="15" t="n">
        <v>2222</v>
      </c>
      <c r="J103" s="15" t="n">
        <v>2673</v>
      </c>
      <c r="K103" s="16" t="n">
        <v>2335</v>
      </c>
      <c r="L103" s="17" t="n">
        <v>55.4</v>
      </c>
    </row>
    <row r="104" customFormat="false" ht="15" hidden="false" customHeight="false" outlineLevel="0" collapsed="false">
      <c r="A104" s="4" t="n">
        <v>101</v>
      </c>
      <c r="B104" s="5" t="n">
        <v>46195</v>
      </c>
      <c r="C104" s="6" t="s">
        <v>14</v>
      </c>
      <c r="D104" s="6" t="s">
        <v>47</v>
      </c>
      <c r="E104" s="6" t="s">
        <v>49</v>
      </c>
      <c r="F104" s="7" t="s">
        <v>24</v>
      </c>
      <c r="G104" s="6" t="s">
        <v>25</v>
      </c>
      <c r="H104" s="4" t="s">
        <v>19</v>
      </c>
      <c r="I104" s="8" t="n">
        <v>6834</v>
      </c>
      <c r="J104" s="8" t="n">
        <v>8349</v>
      </c>
      <c r="K104" s="9" t="n">
        <v>7547</v>
      </c>
      <c r="L104" s="10" t="n">
        <v>241.4</v>
      </c>
    </row>
    <row r="105" customFormat="false" ht="15" hidden="false" customHeight="false" outlineLevel="0" collapsed="false">
      <c r="A105" s="11" t="n">
        <v>102</v>
      </c>
      <c r="B105" s="12" t="n">
        <v>46195</v>
      </c>
      <c r="C105" s="13" t="s">
        <v>14</v>
      </c>
      <c r="D105" s="13" t="s">
        <v>47</v>
      </c>
      <c r="E105" s="13" t="s">
        <v>49</v>
      </c>
      <c r="F105" s="14" t="s">
        <v>26</v>
      </c>
      <c r="G105" s="13" t="s">
        <v>25</v>
      </c>
      <c r="H105" s="11" t="s">
        <v>19</v>
      </c>
      <c r="I105" s="15" t="n">
        <v>5129</v>
      </c>
      <c r="J105" s="15" t="n">
        <v>5579</v>
      </c>
      <c r="K105" s="16" t="n">
        <v>5311</v>
      </c>
      <c r="L105" s="17" t="n">
        <v>68.7</v>
      </c>
    </row>
    <row r="106" customFormat="false" ht="15" hidden="false" customHeight="false" outlineLevel="0" collapsed="false">
      <c r="A106" s="4" t="n">
        <v>103</v>
      </c>
      <c r="B106" s="5" t="n">
        <v>46195</v>
      </c>
      <c r="C106" s="6" t="s">
        <v>14</v>
      </c>
      <c r="D106" s="6" t="s">
        <v>47</v>
      </c>
      <c r="E106" s="6" t="s">
        <v>49</v>
      </c>
      <c r="F106" s="7" t="s">
        <v>27</v>
      </c>
      <c r="G106" s="6" t="s">
        <v>25</v>
      </c>
      <c r="H106" s="4" t="s">
        <v>19</v>
      </c>
      <c r="I106" s="8" t="n">
        <v>10495</v>
      </c>
      <c r="J106" s="8" t="n">
        <v>12055</v>
      </c>
      <c r="K106" s="9" t="n">
        <v>11749</v>
      </c>
      <c r="L106" s="10" t="n">
        <v>74.7</v>
      </c>
    </row>
    <row r="107" customFormat="false" ht="15" hidden="false" customHeight="false" outlineLevel="0" collapsed="false">
      <c r="A107" s="11" t="n">
        <v>104</v>
      </c>
      <c r="B107" s="12" t="n">
        <v>46195</v>
      </c>
      <c r="C107" s="13" t="s">
        <v>14</v>
      </c>
      <c r="D107" s="13" t="s">
        <v>47</v>
      </c>
      <c r="E107" s="13" t="s">
        <v>49</v>
      </c>
      <c r="F107" s="14" t="s">
        <v>28</v>
      </c>
      <c r="G107" s="13" t="s">
        <v>25</v>
      </c>
      <c r="H107" s="11" t="s">
        <v>19</v>
      </c>
      <c r="I107" s="15" t="n">
        <v>7825</v>
      </c>
      <c r="J107" s="15" t="n">
        <v>8897</v>
      </c>
      <c r="K107" s="16" t="n">
        <v>8244</v>
      </c>
      <c r="L107" s="17" t="n">
        <v>46.3</v>
      </c>
    </row>
    <row r="108" customFormat="false" ht="15" hidden="false" customHeight="false" outlineLevel="0" collapsed="false">
      <c r="A108" s="4" t="n">
        <v>105</v>
      </c>
      <c r="B108" s="5" t="n">
        <v>46195</v>
      </c>
      <c r="C108" s="6" t="s">
        <v>14</v>
      </c>
      <c r="D108" s="6" t="s">
        <v>47</v>
      </c>
      <c r="E108" s="6" t="s">
        <v>49</v>
      </c>
      <c r="F108" s="7" t="s">
        <v>29</v>
      </c>
      <c r="G108" s="6" t="s">
        <v>30</v>
      </c>
      <c r="H108" s="4" t="s">
        <v>19</v>
      </c>
      <c r="I108" s="8" t="n">
        <v>6096</v>
      </c>
      <c r="J108" s="8" t="n">
        <v>6904</v>
      </c>
      <c r="K108" s="9" t="n">
        <v>6453</v>
      </c>
      <c r="L108" s="10" t="n">
        <v>218.2</v>
      </c>
    </row>
    <row r="109" customFormat="false" ht="15" hidden="false" customHeight="false" outlineLevel="0" collapsed="false">
      <c r="A109" s="11" t="n">
        <v>106</v>
      </c>
      <c r="B109" s="12" t="n">
        <v>46195</v>
      </c>
      <c r="C109" s="13" t="s">
        <v>14</v>
      </c>
      <c r="D109" s="13" t="s">
        <v>47</v>
      </c>
      <c r="E109" s="13" t="s">
        <v>49</v>
      </c>
      <c r="F109" s="14" t="s">
        <v>31</v>
      </c>
      <c r="G109" s="13" t="s">
        <v>30</v>
      </c>
      <c r="H109" s="11" t="s">
        <v>19</v>
      </c>
      <c r="I109" s="15" t="n">
        <v>5434</v>
      </c>
      <c r="J109" s="15" t="n">
        <v>6554</v>
      </c>
      <c r="K109" s="16" t="n">
        <v>5769</v>
      </c>
      <c r="L109" s="17" t="n">
        <v>142.4</v>
      </c>
    </row>
    <row r="110" customFormat="false" ht="15" hidden="false" customHeight="false" outlineLevel="0" collapsed="false">
      <c r="A110" s="4" t="n">
        <v>107</v>
      </c>
      <c r="B110" s="5" t="n">
        <v>46195</v>
      </c>
      <c r="C110" s="6" t="s">
        <v>14</v>
      </c>
      <c r="D110" s="6" t="s">
        <v>47</v>
      </c>
      <c r="E110" s="6" t="s">
        <v>49</v>
      </c>
      <c r="F110" s="7" t="s">
        <v>32</v>
      </c>
      <c r="G110" s="6" t="s">
        <v>30</v>
      </c>
      <c r="H110" s="4" t="s">
        <v>19</v>
      </c>
      <c r="I110" s="8" t="n">
        <v>4840</v>
      </c>
      <c r="J110" s="8" t="n">
        <v>5341</v>
      </c>
      <c r="K110" s="9" t="n">
        <v>5094</v>
      </c>
      <c r="L110" s="10" t="n">
        <v>241.1</v>
      </c>
    </row>
    <row r="111" customFormat="false" ht="15" hidden="false" customHeight="false" outlineLevel="0" collapsed="false">
      <c r="A111" s="11" t="n">
        <v>108</v>
      </c>
      <c r="B111" s="12" t="n">
        <v>46195</v>
      </c>
      <c r="C111" s="13" t="s">
        <v>14</v>
      </c>
      <c r="D111" s="13" t="s">
        <v>50</v>
      </c>
      <c r="E111" s="13" t="s">
        <v>51</v>
      </c>
      <c r="F111" s="14" t="s">
        <v>17</v>
      </c>
      <c r="G111" s="13" t="s">
        <v>18</v>
      </c>
      <c r="H111" s="11" t="s">
        <v>19</v>
      </c>
      <c r="I111" s="15" t="n">
        <v>2295</v>
      </c>
      <c r="J111" s="15" t="n">
        <v>2811</v>
      </c>
      <c r="K111" s="16" t="n">
        <v>2467</v>
      </c>
      <c r="L111" s="17" t="n">
        <v>276.3</v>
      </c>
    </row>
    <row r="112" customFormat="false" ht="15" hidden="false" customHeight="false" outlineLevel="0" collapsed="false">
      <c r="A112" s="4" t="n">
        <v>109</v>
      </c>
      <c r="B112" s="5" t="n">
        <v>46195</v>
      </c>
      <c r="C112" s="6" t="s">
        <v>14</v>
      </c>
      <c r="D112" s="6" t="s">
        <v>50</v>
      </c>
      <c r="E112" s="6" t="s">
        <v>51</v>
      </c>
      <c r="F112" s="7" t="s">
        <v>20</v>
      </c>
      <c r="G112" s="6" t="s">
        <v>18</v>
      </c>
      <c r="H112" s="4" t="s">
        <v>19</v>
      </c>
      <c r="I112" s="8" t="n">
        <v>2159</v>
      </c>
      <c r="J112" s="8" t="n">
        <v>2551</v>
      </c>
      <c r="K112" s="9" t="n">
        <v>2342</v>
      </c>
      <c r="L112" s="10" t="n">
        <v>100.6</v>
      </c>
    </row>
    <row r="113" customFormat="false" ht="15" hidden="false" customHeight="false" outlineLevel="0" collapsed="false">
      <c r="A113" s="11" t="n">
        <v>110</v>
      </c>
      <c r="B113" s="12" t="n">
        <v>46195</v>
      </c>
      <c r="C113" s="13" t="s">
        <v>14</v>
      </c>
      <c r="D113" s="13" t="s">
        <v>50</v>
      </c>
      <c r="E113" s="13" t="s">
        <v>51</v>
      </c>
      <c r="F113" s="14" t="s">
        <v>21</v>
      </c>
      <c r="G113" s="13" t="s">
        <v>18</v>
      </c>
      <c r="H113" s="11" t="s">
        <v>19</v>
      </c>
      <c r="I113" s="15" t="n">
        <v>2393</v>
      </c>
      <c r="J113" s="15" t="n">
        <v>2720</v>
      </c>
      <c r="K113" s="16" t="n">
        <v>2524</v>
      </c>
      <c r="L113" s="17" t="n">
        <v>499</v>
      </c>
    </row>
    <row r="114" customFormat="false" ht="15" hidden="false" customHeight="false" outlineLevel="0" collapsed="false">
      <c r="A114" s="4" t="n">
        <v>111</v>
      </c>
      <c r="B114" s="5" t="n">
        <v>46195</v>
      </c>
      <c r="C114" s="6" t="s">
        <v>14</v>
      </c>
      <c r="D114" s="6" t="s">
        <v>50</v>
      </c>
      <c r="E114" s="6" t="s">
        <v>51</v>
      </c>
      <c r="F114" s="7" t="s">
        <v>22</v>
      </c>
      <c r="G114" s="6" t="s">
        <v>18</v>
      </c>
      <c r="H114" s="4" t="s">
        <v>19</v>
      </c>
      <c r="I114" s="8" t="n">
        <v>3984</v>
      </c>
      <c r="J114" s="8" t="n">
        <v>4936</v>
      </c>
      <c r="K114" s="9" t="n">
        <v>4338</v>
      </c>
      <c r="L114" s="10" t="n">
        <v>48.6</v>
      </c>
    </row>
    <row r="115" customFormat="false" ht="15" hidden="false" customHeight="false" outlineLevel="0" collapsed="false">
      <c r="A115" s="11" t="n">
        <v>112</v>
      </c>
      <c r="B115" s="12" t="n">
        <v>46195</v>
      </c>
      <c r="C115" s="13" t="s">
        <v>14</v>
      </c>
      <c r="D115" s="13" t="s">
        <v>50</v>
      </c>
      <c r="E115" s="13" t="s">
        <v>51</v>
      </c>
      <c r="F115" s="14" t="s">
        <v>23</v>
      </c>
      <c r="G115" s="13" t="s">
        <v>18</v>
      </c>
      <c r="H115" s="11" t="s">
        <v>19</v>
      </c>
      <c r="I115" s="15" t="n">
        <v>2110</v>
      </c>
      <c r="J115" s="15" t="n">
        <v>2377</v>
      </c>
      <c r="K115" s="16" t="n">
        <v>2204</v>
      </c>
      <c r="L115" s="17" t="n">
        <v>56.1</v>
      </c>
    </row>
    <row r="116" customFormat="false" ht="15" hidden="false" customHeight="false" outlineLevel="0" collapsed="false">
      <c r="A116" s="4" t="n">
        <v>113</v>
      </c>
      <c r="B116" s="5" t="n">
        <v>46195</v>
      </c>
      <c r="C116" s="6" t="s">
        <v>14</v>
      </c>
      <c r="D116" s="6" t="s">
        <v>50</v>
      </c>
      <c r="E116" s="6" t="s">
        <v>51</v>
      </c>
      <c r="F116" s="7" t="s">
        <v>24</v>
      </c>
      <c r="G116" s="6" t="s">
        <v>25</v>
      </c>
      <c r="H116" s="4" t="s">
        <v>19</v>
      </c>
      <c r="I116" s="8" t="n">
        <v>7022</v>
      </c>
      <c r="J116" s="8" t="n">
        <v>8700</v>
      </c>
      <c r="K116" s="9" t="n">
        <v>7760</v>
      </c>
      <c r="L116" s="10" t="n">
        <v>209</v>
      </c>
    </row>
    <row r="117" customFormat="false" ht="15" hidden="false" customHeight="false" outlineLevel="0" collapsed="false">
      <c r="A117" s="11" t="n">
        <v>114</v>
      </c>
      <c r="B117" s="12" t="n">
        <v>46195</v>
      </c>
      <c r="C117" s="13" t="s">
        <v>14</v>
      </c>
      <c r="D117" s="13" t="s">
        <v>50</v>
      </c>
      <c r="E117" s="13" t="s">
        <v>51</v>
      </c>
      <c r="F117" s="14" t="s">
        <v>26</v>
      </c>
      <c r="G117" s="13" t="s">
        <v>25</v>
      </c>
      <c r="H117" s="11" t="s">
        <v>19</v>
      </c>
      <c r="I117" s="15" t="n">
        <v>5006</v>
      </c>
      <c r="J117" s="15" t="n">
        <v>6058</v>
      </c>
      <c r="K117" s="16" t="n">
        <v>5444</v>
      </c>
      <c r="L117" s="17" t="n">
        <v>61.2</v>
      </c>
    </row>
    <row r="118" customFormat="false" ht="15" hidden="false" customHeight="false" outlineLevel="0" collapsed="false">
      <c r="A118" s="4" t="n">
        <v>115</v>
      </c>
      <c r="B118" s="5" t="n">
        <v>46195</v>
      </c>
      <c r="C118" s="6" t="s">
        <v>14</v>
      </c>
      <c r="D118" s="6" t="s">
        <v>50</v>
      </c>
      <c r="E118" s="6" t="s">
        <v>51</v>
      </c>
      <c r="F118" s="7" t="s">
        <v>27</v>
      </c>
      <c r="G118" s="6" t="s">
        <v>25</v>
      </c>
      <c r="H118" s="4" t="s">
        <v>19</v>
      </c>
      <c r="I118" s="8" t="n">
        <v>10474</v>
      </c>
      <c r="J118" s="8" t="n">
        <v>11238</v>
      </c>
      <c r="K118" s="9" t="n">
        <v>10906</v>
      </c>
      <c r="L118" s="10" t="n">
        <v>29.2</v>
      </c>
    </row>
    <row r="119" customFormat="false" ht="15" hidden="false" customHeight="false" outlineLevel="0" collapsed="false">
      <c r="A119" s="11" t="n">
        <v>116</v>
      </c>
      <c r="B119" s="12" t="n">
        <v>46195</v>
      </c>
      <c r="C119" s="13" t="s">
        <v>14</v>
      </c>
      <c r="D119" s="13" t="s">
        <v>50</v>
      </c>
      <c r="E119" s="13" t="s">
        <v>51</v>
      </c>
      <c r="F119" s="14" t="s">
        <v>28</v>
      </c>
      <c r="G119" s="13" t="s">
        <v>25</v>
      </c>
      <c r="H119" s="11" t="s">
        <v>19</v>
      </c>
      <c r="I119" s="15" t="n">
        <v>7104</v>
      </c>
      <c r="J119" s="15" t="n">
        <v>8328</v>
      </c>
      <c r="K119" s="16" t="n">
        <v>7948</v>
      </c>
      <c r="L119" s="17" t="n">
        <v>29.1</v>
      </c>
    </row>
    <row r="120" customFormat="false" ht="15" hidden="false" customHeight="false" outlineLevel="0" collapsed="false">
      <c r="A120" s="4" t="n">
        <v>117</v>
      </c>
      <c r="B120" s="5" t="n">
        <v>46195</v>
      </c>
      <c r="C120" s="6" t="s">
        <v>14</v>
      </c>
      <c r="D120" s="6" t="s">
        <v>50</v>
      </c>
      <c r="E120" s="6" t="s">
        <v>51</v>
      </c>
      <c r="F120" s="7" t="s">
        <v>29</v>
      </c>
      <c r="G120" s="6" t="s">
        <v>30</v>
      </c>
      <c r="H120" s="4" t="s">
        <v>19</v>
      </c>
      <c r="I120" s="8" t="n">
        <v>5719</v>
      </c>
      <c r="J120" s="8" t="n">
        <v>6377</v>
      </c>
      <c r="K120" s="9" t="n">
        <v>6203</v>
      </c>
      <c r="L120" s="10" t="n">
        <v>338.7</v>
      </c>
    </row>
    <row r="121" customFormat="false" ht="15" hidden="false" customHeight="false" outlineLevel="0" collapsed="false">
      <c r="A121" s="11" t="n">
        <v>118</v>
      </c>
      <c r="B121" s="12" t="n">
        <v>46195</v>
      </c>
      <c r="C121" s="13" t="s">
        <v>14</v>
      </c>
      <c r="D121" s="13" t="s">
        <v>50</v>
      </c>
      <c r="E121" s="13" t="s">
        <v>51</v>
      </c>
      <c r="F121" s="14" t="s">
        <v>31</v>
      </c>
      <c r="G121" s="13" t="s">
        <v>30</v>
      </c>
      <c r="H121" s="11" t="s">
        <v>19</v>
      </c>
      <c r="I121" s="15" t="n">
        <v>5701</v>
      </c>
      <c r="J121" s="15" t="n">
        <v>6865</v>
      </c>
      <c r="K121" s="16" t="n">
        <v>6006</v>
      </c>
      <c r="L121" s="17" t="n">
        <v>46.2</v>
      </c>
    </row>
    <row r="122" customFormat="false" ht="15" hidden="false" customHeight="false" outlineLevel="0" collapsed="false">
      <c r="A122" s="4" t="n">
        <v>119</v>
      </c>
      <c r="B122" s="5" t="n">
        <v>46195</v>
      </c>
      <c r="C122" s="6" t="s">
        <v>14</v>
      </c>
      <c r="D122" s="6" t="s">
        <v>50</v>
      </c>
      <c r="E122" s="6" t="s">
        <v>51</v>
      </c>
      <c r="F122" s="7" t="s">
        <v>32</v>
      </c>
      <c r="G122" s="6" t="s">
        <v>30</v>
      </c>
      <c r="H122" s="4" t="s">
        <v>19</v>
      </c>
      <c r="I122" s="8" t="n">
        <v>4743</v>
      </c>
      <c r="J122" s="8" t="n">
        <v>5507</v>
      </c>
      <c r="K122" s="9" t="n">
        <v>5090</v>
      </c>
      <c r="L122" s="10" t="n">
        <v>269.2</v>
      </c>
    </row>
    <row r="123" customFormat="false" ht="15" hidden="false" customHeight="false" outlineLevel="0" collapsed="false">
      <c r="A123" s="11" t="n">
        <v>120</v>
      </c>
      <c r="B123" s="12" t="n">
        <v>46195</v>
      </c>
      <c r="C123" s="13" t="s">
        <v>14</v>
      </c>
      <c r="D123" s="13" t="s">
        <v>50</v>
      </c>
      <c r="E123" s="13" t="s">
        <v>51</v>
      </c>
      <c r="F123" s="14" t="s">
        <v>33</v>
      </c>
      <c r="G123" s="13" t="s">
        <v>30</v>
      </c>
      <c r="H123" s="11" t="s">
        <v>19</v>
      </c>
      <c r="I123" s="15" t="n">
        <v>6448</v>
      </c>
      <c r="J123" s="15" t="n">
        <v>8004</v>
      </c>
      <c r="K123" s="16" t="n">
        <v>7046</v>
      </c>
      <c r="L123" s="17" t="n">
        <v>146</v>
      </c>
    </row>
    <row r="124" customFormat="false" ht="15" hidden="false" customHeight="false" outlineLevel="0" collapsed="false">
      <c r="A124" s="4" t="n">
        <v>121</v>
      </c>
      <c r="B124" s="5" t="n">
        <v>46195</v>
      </c>
      <c r="C124" s="6" t="s">
        <v>14</v>
      </c>
      <c r="D124" s="6" t="s">
        <v>50</v>
      </c>
      <c r="E124" s="6" t="s">
        <v>51</v>
      </c>
      <c r="F124" s="7" t="s">
        <v>34</v>
      </c>
      <c r="G124" s="6" t="s">
        <v>30</v>
      </c>
      <c r="H124" s="4" t="s">
        <v>19</v>
      </c>
      <c r="I124" s="8" t="n">
        <v>21894</v>
      </c>
      <c r="J124" s="8" t="n">
        <v>26010</v>
      </c>
      <c r="K124" s="9" t="n">
        <v>23141</v>
      </c>
      <c r="L124" s="10" t="n">
        <v>46.7</v>
      </c>
    </row>
    <row r="125" customFormat="false" ht="15" hidden="false" customHeight="false" outlineLevel="0" collapsed="false">
      <c r="A125" s="11" t="n">
        <v>122</v>
      </c>
      <c r="B125" s="12" t="n">
        <v>46195</v>
      </c>
      <c r="C125" s="13" t="s">
        <v>14</v>
      </c>
      <c r="D125" s="13" t="s">
        <v>50</v>
      </c>
      <c r="E125" s="13" t="s">
        <v>51</v>
      </c>
      <c r="F125" s="14" t="s">
        <v>35</v>
      </c>
      <c r="G125" s="13" t="s">
        <v>30</v>
      </c>
      <c r="H125" s="11" t="s">
        <v>19</v>
      </c>
      <c r="I125" s="15" t="n">
        <v>4966</v>
      </c>
      <c r="J125" s="15" t="n">
        <v>5946</v>
      </c>
      <c r="K125" s="16" t="n">
        <v>5490</v>
      </c>
      <c r="L125" s="17" t="n">
        <v>34.2</v>
      </c>
    </row>
    <row r="126" customFormat="false" ht="15" hidden="false" customHeight="false" outlineLevel="0" collapsed="false">
      <c r="A126" s="4" t="n">
        <v>123</v>
      </c>
      <c r="B126" s="5" t="n">
        <v>46195</v>
      </c>
      <c r="C126" s="6" t="s">
        <v>14</v>
      </c>
      <c r="D126" s="6" t="s">
        <v>50</v>
      </c>
      <c r="E126" s="6" t="s">
        <v>51</v>
      </c>
      <c r="F126" s="7" t="s">
        <v>36</v>
      </c>
      <c r="G126" s="6" t="s">
        <v>37</v>
      </c>
      <c r="H126" s="4" t="s">
        <v>19</v>
      </c>
      <c r="I126" s="8" t="n">
        <v>7268</v>
      </c>
      <c r="J126" s="8" t="n">
        <v>8508</v>
      </c>
      <c r="K126" s="9" t="n">
        <v>7636</v>
      </c>
      <c r="L126" s="10" t="n">
        <v>167.2</v>
      </c>
    </row>
    <row r="127" customFormat="false" ht="15" hidden="false" customHeight="false" outlineLevel="0" collapsed="false">
      <c r="A127" s="11" t="n">
        <v>124</v>
      </c>
      <c r="B127" s="12" t="n">
        <v>46195</v>
      </c>
      <c r="C127" s="13" t="s">
        <v>14</v>
      </c>
      <c r="D127" s="13" t="s">
        <v>50</v>
      </c>
      <c r="E127" s="13" t="s">
        <v>52</v>
      </c>
      <c r="F127" s="14" t="s">
        <v>17</v>
      </c>
      <c r="G127" s="13" t="s">
        <v>18</v>
      </c>
      <c r="H127" s="11" t="s">
        <v>19</v>
      </c>
      <c r="I127" s="15" t="n">
        <v>2480</v>
      </c>
      <c r="J127" s="15" t="n">
        <v>3040</v>
      </c>
      <c r="K127" s="16" t="n">
        <v>2672</v>
      </c>
      <c r="L127" s="17" t="n">
        <v>533.2</v>
      </c>
    </row>
    <row r="128" customFormat="false" ht="15" hidden="false" customHeight="false" outlineLevel="0" collapsed="false">
      <c r="A128" s="4" t="n">
        <v>125</v>
      </c>
      <c r="B128" s="5" t="n">
        <v>46195</v>
      </c>
      <c r="C128" s="6" t="s">
        <v>14</v>
      </c>
      <c r="D128" s="6" t="s">
        <v>50</v>
      </c>
      <c r="E128" s="6" t="s">
        <v>52</v>
      </c>
      <c r="F128" s="7" t="s">
        <v>20</v>
      </c>
      <c r="G128" s="6" t="s">
        <v>18</v>
      </c>
      <c r="H128" s="4" t="s">
        <v>19</v>
      </c>
      <c r="I128" s="8" t="n">
        <v>2266</v>
      </c>
      <c r="J128" s="8" t="n">
        <v>2746</v>
      </c>
      <c r="K128" s="9" t="n">
        <v>2553</v>
      </c>
      <c r="L128" s="10" t="n">
        <v>133.4</v>
      </c>
    </row>
    <row r="129" customFormat="false" ht="15" hidden="false" customHeight="false" outlineLevel="0" collapsed="false">
      <c r="A129" s="11" t="n">
        <v>126</v>
      </c>
      <c r="B129" s="12" t="n">
        <v>46195</v>
      </c>
      <c r="C129" s="13" t="s">
        <v>14</v>
      </c>
      <c r="D129" s="13" t="s">
        <v>50</v>
      </c>
      <c r="E129" s="13" t="s">
        <v>52</v>
      </c>
      <c r="F129" s="14" t="s">
        <v>21</v>
      </c>
      <c r="G129" s="13" t="s">
        <v>18</v>
      </c>
      <c r="H129" s="11" t="s">
        <v>19</v>
      </c>
      <c r="I129" s="15" t="n">
        <v>2230</v>
      </c>
      <c r="J129" s="15" t="n">
        <v>2622</v>
      </c>
      <c r="K129" s="16" t="n">
        <v>2468</v>
      </c>
      <c r="L129" s="17" t="n">
        <v>349.2</v>
      </c>
    </row>
    <row r="130" customFormat="false" ht="15" hidden="false" customHeight="false" outlineLevel="0" collapsed="false">
      <c r="A130" s="4" t="n">
        <v>127</v>
      </c>
      <c r="B130" s="5" t="n">
        <v>46195</v>
      </c>
      <c r="C130" s="6" t="s">
        <v>14</v>
      </c>
      <c r="D130" s="6" t="s">
        <v>50</v>
      </c>
      <c r="E130" s="6" t="s">
        <v>52</v>
      </c>
      <c r="F130" s="7" t="s">
        <v>22</v>
      </c>
      <c r="G130" s="6" t="s">
        <v>18</v>
      </c>
      <c r="H130" s="4" t="s">
        <v>19</v>
      </c>
      <c r="I130" s="8" t="n">
        <v>3814</v>
      </c>
      <c r="J130" s="8" t="n">
        <v>4199</v>
      </c>
      <c r="K130" s="9" t="n">
        <v>3976</v>
      </c>
      <c r="L130" s="10" t="n">
        <v>78.1</v>
      </c>
    </row>
    <row r="131" customFormat="false" ht="15" hidden="false" customHeight="false" outlineLevel="0" collapsed="false">
      <c r="A131" s="11" t="n">
        <v>128</v>
      </c>
      <c r="B131" s="12" t="n">
        <v>46195</v>
      </c>
      <c r="C131" s="13" t="s">
        <v>14</v>
      </c>
      <c r="D131" s="13" t="s">
        <v>50</v>
      </c>
      <c r="E131" s="13" t="s">
        <v>52</v>
      </c>
      <c r="F131" s="14" t="s">
        <v>23</v>
      </c>
      <c r="G131" s="13" t="s">
        <v>18</v>
      </c>
      <c r="H131" s="11" t="s">
        <v>19</v>
      </c>
      <c r="I131" s="15" t="n">
        <v>2199</v>
      </c>
      <c r="J131" s="15" t="n">
        <v>2489</v>
      </c>
      <c r="K131" s="16" t="n">
        <v>2302</v>
      </c>
      <c r="L131" s="17" t="n">
        <v>56</v>
      </c>
    </row>
    <row r="132" customFormat="false" ht="15" hidden="false" customHeight="false" outlineLevel="0" collapsed="false">
      <c r="A132" s="4" t="n">
        <v>129</v>
      </c>
      <c r="B132" s="5" t="n">
        <v>46195</v>
      </c>
      <c r="C132" s="6" t="s">
        <v>14</v>
      </c>
      <c r="D132" s="6" t="s">
        <v>50</v>
      </c>
      <c r="E132" s="6" t="s">
        <v>52</v>
      </c>
      <c r="F132" s="7" t="s">
        <v>24</v>
      </c>
      <c r="G132" s="6" t="s">
        <v>25</v>
      </c>
      <c r="H132" s="4" t="s">
        <v>19</v>
      </c>
      <c r="I132" s="8" t="n">
        <v>6598</v>
      </c>
      <c r="J132" s="8" t="n">
        <v>7169</v>
      </c>
      <c r="K132" s="9" t="n">
        <v>6833</v>
      </c>
      <c r="L132" s="10" t="n">
        <v>109</v>
      </c>
    </row>
    <row r="133" customFormat="false" ht="15" hidden="false" customHeight="false" outlineLevel="0" collapsed="false">
      <c r="A133" s="11" t="n">
        <v>130</v>
      </c>
      <c r="B133" s="12" t="n">
        <v>46195</v>
      </c>
      <c r="C133" s="13" t="s">
        <v>14</v>
      </c>
      <c r="D133" s="13" t="s">
        <v>50</v>
      </c>
      <c r="E133" s="13" t="s">
        <v>52</v>
      </c>
      <c r="F133" s="14" t="s">
        <v>26</v>
      </c>
      <c r="G133" s="13" t="s">
        <v>25</v>
      </c>
      <c r="H133" s="11" t="s">
        <v>19</v>
      </c>
      <c r="I133" s="15" t="n">
        <v>5387</v>
      </c>
      <c r="J133" s="15" t="n">
        <v>6244</v>
      </c>
      <c r="K133" s="16" t="n">
        <v>6097</v>
      </c>
      <c r="L133" s="17" t="n">
        <v>62.4</v>
      </c>
    </row>
    <row r="134" customFormat="false" ht="15" hidden="false" customHeight="false" outlineLevel="0" collapsed="false">
      <c r="A134" s="4" t="n">
        <v>131</v>
      </c>
      <c r="B134" s="5" t="n">
        <v>46195</v>
      </c>
      <c r="C134" s="6" t="s">
        <v>14</v>
      </c>
      <c r="D134" s="6" t="s">
        <v>50</v>
      </c>
      <c r="E134" s="6" t="s">
        <v>52</v>
      </c>
      <c r="F134" s="7" t="s">
        <v>27</v>
      </c>
      <c r="G134" s="6" t="s">
        <v>25</v>
      </c>
      <c r="H134" s="4" t="s">
        <v>19</v>
      </c>
      <c r="I134" s="8" t="n">
        <v>11051</v>
      </c>
      <c r="J134" s="8" t="n">
        <v>12410</v>
      </c>
      <c r="K134" s="9" t="n">
        <v>11808</v>
      </c>
      <c r="L134" s="10" t="n">
        <v>46.9</v>
      </c>
    </row>
    <row r="135" customFormat="false" ht="15" hidden="false" customHeight="false" outlineLevel="0" collapsed="false">
      <c r="A135" s="11" t="n">
        <v>132</v>
      </c>
      <c r="B135" s="12" t="n">
        <v>46195</v>
      </c>
      <c r="C135" s="13" t="s">
        <v>14</v>
      </c>
      <c r="D135" s="13" t="s">
        <v>50</v>
      </c>
      <c r="E135" s="13" t="s">
        <v>52</v>
      </c>
      <c r="F135" s="14" t="s">
        <v>28</v>
      </c>
      <c r="G135" s="13" t="s">
        <v>25</v>
      </c>
      <c r="H135" s="11" t="s">
        <v>19</v>
      </c>
      <c r="I135" s="15" t="n">
        <v>7336</v>
      </c>
      <c r="J135" s="15" t="n">
        <v>8211</v>
      </c>
      <c r="K135" s="16" t="n">
        <v>7600</v>
      </c>
      <c r="L135" s="17" t="n">
        <v>23.3</v>
      </c>
    </row>
    <row r="136" customFormat="false" ht="15" hidden="false" customHeight="false" outlineLevel="0" collapsed="false">
      <c r="A136" s="4" t="n">
        <v>133</v>
      </c>
      <c r="B136" s="5" t="n">
        <v>46195</v>
      </c>
      <c r="C136" s="6" t="s">
        <v>14</v>
      </c>
      <c r="D136" s="6" t="s">
        <v>50</v>
      </c>
      <c r="E136" s="6" t="s">
        <v>52</v>
      </c>
      <c r="F136" s="7" t="s">
        <v>29</v>
      </c>
      <c r="G136" s="6" t="s">
        <v>30</v>
      </c>
      <c r="H136" s="4" t="s">
        <v>19</v>
      </c>
      <c r="I136" s="8" t="n">
        <v>5833</v>
      </c>
      <c r="J136" s="8" t="n">
        <v>7149</v>
      </c>
      <c r="K136" s="9" t="n">
        <v>6242</v>
      </c>
      <c r="L136" s="10" t="n">
        <v>306.8</v>
      </c>
    </row>
    <row r="137" customFormat="false" ht="15" hidden="false" customHeight="false" outlineLevel="0" collapsed="false">
      <c r="A137" s="11" t="n">
        <v>134</v>
      </c>
      <c r="B137" s="12" t="n">
        <v>46195</v>
      </c>
      <c r="C137" s="13" t="s">
        <v>14</v>
      </c>
      <c r="D137" s="13" t="s">
        <v>53</v>
      </c>
      <c r="E137" s="13" t="s">
        <v>54</v>
      </c>
      <c r="F137" s="14" t="s">
        <v>17</v>
      </c>
      <c r="G137" s="13" t="s">
        <v>18</v>
      </c>
      <c r="H137" s="11" t="s">
        <v>19</v>
      </c>
      <c r="I137" s="15" t="n">
        <v>2371</v>
      </c>
      <c r="J137" s="15" t="n">
        <v>2727</v>
      </c>
      <c r="K137" s="16" t="n">
        <v>2665</v>
      </c>
      <c r="L137" s="17" t="n">
        <v>380.3</v>
      </c>
    </row>
    <row r="138" customFormat="false" ht="15" hidden="false" customHeight="false" outlineLevel="0" collapsed="false">
      <c r="A138" s="4" t="n">
        <v>135</v>
      </c>
      <c r="B138" s="5" t="n">
        <v>46195</v>
      </c>
      <c r="C138" s="6" t="s">
        <v>14</v>
      </c>
      <c r="D138" s="6" t="s">
        <v>53</v>
      </c>
      <c r="E138" s="6" t="s">
        <v>54</v>
      </c>
      <c r="F138" s="7" t="s">
        <v>20</v>
      </c>
      <c r="G138" s="6" t="s">
        <v>18</v>
      </c>
      <c r="H138" s="4" t="s">
        <v>19</v>
      </c>
      <c r="I138" s="8" t="n">
        <v>2473</v>
      </c>
      <c r="J138" s="8" t="n">
        <v>2742</v>
      </c>
      <c r="K138" s="9" t="n">
        <v>2559</v>
      </c>
      <c r="L138" s="10" t="n">
        <v>117.2</v>
      </c>
    </row>
    <row r="139" customFormat="false" ht="15" hidden="false" customHeight="false" outlineLevel="0" collapsed="false">
      <c r="A139" s="11" t="n">
        <v>136</v>
      </c>
      <c r="B139" s="12" t="n">
        <v>46195</v>
      </c>
      <c r="C139" s="13" t="s">
        <v>14</v>
      </c>
      <c r="D139" s="13" t="s">
        <v>53</v>
      </c>
      <c r="E139" s="13" t="s">
        <v>54</v>
      </c>
      <c r="F139" s="14" t="s">
        <v>21</v>
      </c>
      <c r="G139" s="13" t="s">
        <v>18</v>
      </c>
      <c r="H139" s="11" t="s">
        <v>19</v>
      </c>
      <c r="I139" s="15" t="n">
        <v>2284</v>
      </c>
      <c r="J139" s="15" t="n">
        <v>2670</v>
      </c>
      <c r="K139" s="16" t="n">
        <v>2424</v>
      </c>
      <c r="L139" s="17" t="n">
        <v>202.4</v>
      </c>
    </row>
    <row r="140" customFormat="false" ht="15" hidden="false" customHeight="false" outlineLevel="0" collapsed="false">
      <c r="A140" s="4" t="n">
        <v>137</v>
      </c>
      <c r="B140" s="5" t="n">
        <v>46195</v>
      </c>
      <c r="C140" s="6" t="s">
        <v>14</v>
      </c>
      <c r="D140" s="6" t="s">
        <v>53</v>
      </c>
      <c r="E140" s="6" t="s">
        <v>54</v>
      </c>
      <c r="F140" s="7" t="s">
        <v>22</v>
      </c>
      <c r="G140" s="6" t="s">
        <v>18</v>
      </c>
      <c r="H140" s="4" t="s">
        <v>19</v>
      </c>
      <c r="I140" s="8" t="n">
        <v>4075</v>
      </c>
      <c r="J140" s="8" t="n">
        <v>4678</v>
      </c>
      <c r="K140" s="9" t="n">
        <v>4260</v>
      </c>
      <c r="L140" s="10" t="n">
        <v>29.6</v>
      </c>
    </row>
    <row r="141" customFormat="false" ht="15" hidden="false" customHeight="false" outlineLevel="0" collapsed="false">
      <c r="A141" s="11" t="n">
        <v>138</v>
      </c>
      <c r="B141" s="12" t="n">
        <v>46195</v>
      </c>
      <c r="C141" s="13" t="s">
        <v>14</v>
      </c>
      <c r="D141" s="13" t="s">
        <v>53</v>
      </c>
      <c r="E141" s="13" t="s">
        <v>54</v>
      </c>
      <c r="F141" s="14" t="s">
        <v>23</v>
      </c>
      <c r="G141" s="13" t="s">
        <v>18</v>
      </c>
      <c r="H141" s="11" t="s">
        <v>19</v>
      </c>
      <c r="I141" s="15" t="n">
        <v>2387</v>
      </c>
      <c r="J141" s="15" t="n">
        <v>2675</v>
      </c>
      <c r="K141" s="16" t="n">
        <v>2511</v>
      </c>
      <c r="L141" s="17" t="n">
        <v>40.2</v>
      </c>
    </row>
    <row r="142" customFormat="false" ht="15" hidden="false" customHeight="false" outlineLevel="0" collapsed="false">
      <c r="A142" s="4" t="n">
        <v>139</v>
      </c>
      <c r="B142" s="5" t="n">
        <v>46195</v>
      </c>
      <c r="C142" s="6" t="s">
        <v>14</v>
      </c>
      <c r="D142" s="6" t="s">
        <v>53</v>
      </c>
      <c r="E142" s="6" t="s">
        <v>54</v>
      </c>
      <c r="F142" s="7" t="s">
        <v>24</v>
      </c>
      <c r="G142" s="6" t="s">
        <v>25</v>
      </c>
      <c r="H142" s="4" t="s">
        <v>19</v>
      </c>
      <c r="I142" s="8" t="n">
        <v>6671</v>
      </c>
      <c r="J142" s="8" t="n">
        <v>7672</v>
      </c>
      <c r="K142" s="9" t="n">
        <v>7208</v>
      </c>
      <c r="L142" s="10" t="n">
        <v>296.8</v>
      </c>
    </row>
    <row r="143" customFormat="false" ht="15" hidden="false" customHeight="false" outlineLevel="0" collapsed="false">
      <c r="A143" s="11" t="n">
        <v>140</v>
      </c>
      <c r="B143" s="12" t="n">
        <v>46195</v>
      </c>
      <c r="C143" s="13" t="s">
        <v>14</v>
      </c>
      <c r="D143" s="13" t="s">
        <v>53</v>
      </c>
      <c r="E143" s="13" t="s">
        <v>54</v>
      </c>
      <c r="F143" s="14" t="s">
        <v>26</v>
      </c>
      <c r="G143" s="13" t="s">
        <v>25</v>
      </c>
      <c r="H143" s="11" t="s">
        <v>19</v>
      </c>
      <c r="I143" s="15" t="n">
        <v>5314</v>
      </c>
      <c r="J143" s="15" t="n">
        <v>6840</v>
      </c>
      <c r="K143" s="16" t="n">
        <v>5974</v>
      </c>
      <c r="L143" s="17" t="n">
        <v>100.8</v>
      </c>
    </row>
    <row r="144" customFormat="false" ht="15" hidden="false" customHeight="false" outlineLevel="0" collapsed="false">
      <c r="A144" s="4" t="n">
        <v>141</v>
      </c>
      <c r="B144" s="5" t="n">
        <v>46195</v>
      </c>
      <c r="C144" s="6" t="s">
        <v>14</v>
      </c>
      <c r="D144" s="6" t="s">
        <v>53</v>
      </c>
      <c r="E144" s="6" t="s">
        <v>54</v>
      </c>
      <c r="F144" s="7" t="s">
        <v>27</v>
      </c>
      <c r="G144" s="6" t="s">
        <v>25</v>
      </c>
      <c r="H144" s="4" t="s">
        <v>19</v>
      </c>
      <c r="I144" s="8" t="n">
        <v>11125</v>
      </c>
      <c r="J144" s="8" t="n">
        <v>12692</v>
      </c>
      <c r="K144" s="9" t="n">
        <v>11789</v>
      </c>
      <c r="L144" s="10" t="n">
        <v>61.1</v>
      </c>
    </row>
    <row r="145" customFormat="false" ht="15" hidden="false" customHeight="false" outlineLevel="0" collapsed="false">
      <c r="A145" s="11" t="n">
        <v>142</v>
      </c>
      <c r="B145" s="12" t="n">
        <v>46195</v>
      </c>
      <c r="C145" s="13" t="s">
        <v>14</v>
      </c>
      <c r="D145" s="13" t="s">
        <v>53</v>
      </c>
      <c r="E145" s="13" t="s">
        <v>54</v>
      </c>
      <c r="F145" s="14" t="s">
        <v>28</v>
      </c>
      <c r="G145" s="13" t="s">
        <v>25</v>
      </c>
      <c r="H145" s="11" t="s">
        <v>19</v>
      </c>
      <c r="I145" s="15" t="n">
        <v>7870</v>
      </c>
      <c r="J145" s="15" t="n">
        <v>9791</v>
      </c>
      <c r="K145" s="16" t="n">
        <v>8703</v>
      </c>
      <c r="L145" s="17" t="n">
        <v>33.6</v>
      </c>
    </row>
    <row r="146" customFormat="false" ht="15" hidden="false" customHeight="false" outlineLevel="0" collapsed="false">
      <c r="A146" s="4" t="n">
        <v>143</v>
      </c>
      <c r="B146" s="5" t="n">
        <v>46195</v>
      </c>
      <c r="C146" s="6" t="s">
        <v>14</v>
      </c>
      <c r="D146" s="6" t="s">
        <v>53</v>
      </c>
      <c r="E146" s="6" t="s">
        <v>54</v>
      </c>
      <c r="F146" s="7" t="s">
        <v>29</v>
      </c>
      <c r="G146" s="6" t="s">
        <v>30</v>
      </c>
      <c r="H146" s="4" t="s">
        <v>19</v>
      </c>
      <c r="I146" s="8" t="n">
        <v>5845</v>
      </c>
      <c r="J146" s="8" t="n">
        <v>7090</v>
      </c>
      <c r="K146" s="9" t="n">
        <v>6359</v>
      </c>
      <c r="L146" s="10" t="n">
        <v>181.7</v>
      </c>
    </row>
    <row r="147" customFormat="false" ht="15" hidden="false" customHeight="false" outlineLevel="0" collapsed="false">
      <c r="A147" s="11" t="n">
        <v>144</v>
      </c>
      <c r="B147" s="12" t="n">
        <v>46195</v>
      </c>
      <c r="C147" s="13" t="s">
        <v>14</v>
      </c>
      <c r="D147" s="13" t="s">
        <v>53</v>
      </c>
      <c r="E147" s="13" t="s">
        <v>55</v>
      </c>
      <c r="F147" s="14" t="s">
        <v>17</v>
      </c>
      <c r="G147" s="13" t="s">
        <v>18</v>
      </c>
      <c r="H147" s="11" t="s">
        <v>19</v>
      </c>
      <c r="I147" s="15" t="n">
        <v>2319</v>
      </c>
      <c r="J147" s="15" t="n">
        <v>2964</v>
      </c>
      <c r="K147" s="16" t="n">
        <v>2612</v>
      </c>
      <c r="L147" s="17" t="n">
        <v>343.1</v>
      </c>
    </row>
    <row r="148" customFormat="false" ht="15" hidden="false" customHeight="false" outlineLevel="0" collapsed="false">
      <c r="A148" s="4" t="n">
        <v>145</v>
      </c>
      <c r="B148" s="5" t="n">
        <v>46195</v>
      </c>
      <c r="C148" s="6" t="s">
        <v>14</v>
      </c>
      <c r="D148" s="6" t="s">
        <v>53</v>
      </c>
      <c r="E148" s="6" t="s">
        <v>55</v>
      </c>
      <c r="F148" s="7" t="s">
        <v>20</v>
      </c>
      <c r="G148" s="6" t="s">
        <v>18</v>
      </c>
      <c r="H148" s="4" t="s">
        <v>19</v>
      </c>
      <c r="I148" s="8" t="n">
        <v>2313</v>
      </c>
      <c r="J148" s="8" t="n">
        <v>2645</v>
      </c>
      <c r="K148" s="9" t="n">
        <v>2474</v>
      </c>
      <c r="L148" s="10" t="n">
        <v>44.1</v>
      </c>
    </row>
    <row r="149" customFormat="false" ht="15" hidden="false" customHeight="false" outlineLevel="0" collapsed="false">
      <c r="A149" s="11" t="n">
        <v>146</v>
      </c>
      <c r="B149" s="12" t="n">
        <v>46195</v>
      </c>
      <c r="C149" s="13" t="s">
        <v>14</v>
      </c>
      <c r="D149" s="13" t="s">
        <v>53</v>
      </c>
      <c r="E149" s="13" t="s">
        <v>55</v>
      </c>
      <c r="F149" s="14" t="s">
        <v>21</v>
      </c>
      <c r="G149" s="13" t="s">
        <v>18</v>
      </c>
      <c r="H149" s="11" t="s">
        <v>19</v>
      </c>
      <c r="I149" s="15" t="n">
        <v>2461</v>
      </c>
      <c r="J149" s="15" t="n">
        <v>2877</v>
      </c>
      <c r="K149" s="16" t="n">
        <v>2746</v>
      </c>
      <c r="L149" s="17" t="n">
        <v>491.9</v>
      </c>
    </row>
    <row r="150" customFormat="false" ht="15" hidden="false" customHeight="false" outlineLevel="0" collapsed="false">
      <c r="A150" s="4" t="n">
        <v>147</v>
      </c>
      <c r="B150" s="5" t="n">
        <v>46195</v>
      </c>
      <c r="C150" s="6" t="s">
        <v>14</v>
      </c>
      <c r="D150" s="6" t="s">
        <v>53</v>
      </c>
      <c r="E150" s="6" t="s">
        <v>55</v>
      </c>
      <c r="F150" s="7" t="s">
        <v>22</v>
      </c>
      <c r="G150" s="6" t="s">
        <v>18</v>
      </c>
      <c r="H150" s="4" t="s">
        <v>19</v>
      </c>
      <c r="I150" s="8" t="n">
        <v>3816</v>
      </c>
      <c r="J150" s="8" t="n">
        <v>4420</v>
      </c>
      <c r="K150" s="9" t="n">
        <v>3978</v>
      </c>
      <c r="L150" s="10" t="n">
        <v>38.7</v>
      </c>
    </row>
    <row r="151" customFormat="false" ht="15" hidden="false" customHeight="false" outlineLevel="0" collapsed="false">
      <c r="A151" s="11" t="n">
        <v>148</v>
      </c>
      <c r="B151" s="12" t="n">
        <v>46195</v>
      </c>
      <c r="C151" s="13" t="s">
        <v>14</v>
      </c>
      <c r="D151" s="13" t="s">
        <v>53</v>
      </c>
      <c r="E151" s="13" t="s">
        <v>55</v>
      </c>
      <c r="F151" s="14" t="s">
        <v>23</v>
      </c>
      <c r="G151" s="13" t="s">
        <v>18</v>
      </c>
      <c r="H151" s="11" t="s">
        <v>19</v>
      </c>
      <c r="I151" s="15" t="n">
        <v>2074</v>
      </c>
      <c r="J151" s="15" t="n">
        <v>2215</v>
      </c>
      <c r="K151" s="16" t="n">
        <v>2148</v>
      </c>
      <c r="L151" s="17" t="n">
        <v>54.6</v>
      </c>
    </row>
    <row r="152" customFormat="false" ht="15" hidden="false" customHeight="false" outlineLevel="0" collapsed="false">
      <c r="A152" s="4" t="n">
        <v>149</v>
      </c>
      <c r="B152" s="5" t="n">
        <v>46195</v>
      </c>
      <c r="C152" s="6" t="s">
        <v>14</v>
      </c>
      <c r="D152" s="6" t="s">
        <v>53</v>
      </c>
      <c r="E152" s="6" t="s">
        <v>55</v>
      </c>
      <c r="F152" s="7" t="s">
        <v>24</v>
      </c>
      <c r="G152" s="6" t="s">
        <v>25</v>
      </c>
      <c r="H152" s="4" t="s">
        <v>19</v>
      </c>
      <c r="I152" s="8" t="n">
        <v>6967</v>
      </c>
      <c r="J152" s="8" t="n">
        <v>8154</v>
      </c>
      <c r="K152" s="9" t="n">
        <v>7347</v>
      </c>
      <c r="L152" s="10" t="n">
        <v>247.8</v>
      </c>
    </row>
    <row r="153" customFormat="false" ht="15" hidden="false" customHeight="false" outlineLevel="0" collapsed="false">
      <c r="A153" s="11" t="n">
        <v>150</v>
      </c>
      <c r="B153" s="12" t="n">
        <v>46195</v>
      </c>
      <c r="C153" s="13" t="s">
        <v>14</v>
      </c>
      <c r="D153" s="13" t="s">
        <v>53</v>
      </c>
      <c r="E153" s="13" t="s">
        <v>55</v>
      </c>
      <c r="F153" s="14" t="s">
        <v>26</v>
      </c>
      <c r="G153" s="13" t="s">
        <v>25</v>
      </c>
      <c r="H153" s="11" t="s">
        <v>19</v>
      </c>
      <c r="I153" s="15" t="n">
        <v>5397</v>
      </c>
      <c r="J153" s="15" t="n">
        <v>5855</v>
      </c>
      <c r="K153" s="16" t="n">
        <v>5673</v>
      </c>
      <c r="L153" s="17" t="n">
        <v>59.9</v>
      </c>
    </row>
    <row r="154" customFormat="false" ht="15" hidden="false" customHeight="false" outlineLevel="0" collapsed="false">
      <c r="A154" s="4" t="n">
        <v>151</v>
      </c>
      <c r="B154" s="5" t="n">
        <v>46195</v>
      </c>
      <c r="C154" s="6" t="s">
        <v>14</v>
      </c>
      <c r="D154" s="6" t="s">
        <v>53</v>
      </c>
      <c r="E154" s="6" t="s">
        <v>55</v>
      </c>
      <c r="F154" s="7" t="s">
        <v>27</v>
      </c>
      <c r="G154" s="6" t="s">
        <v>25</v>
      </c>
      <c r="H154" s="4" t="s">
        <v>19</v>
      </c>
      <c r="I154" s="8" t="n">
        <v>10477</v>
      </c>
      <c r="J154" s="8" t="n">
        <v>12648</v>
      </c>
      <c r="K154" s="9" t="n">
        <v>11544</v>
      </c>
      <c r="L154" s="10" t="n">
        <v>46.8</v>
      </c>
    </row>
    <row r="155" customFormat="false" ht="15" hidden="false" customHeight="false" outlineLevel="0" collapsed="false">
      <c r="A155" s="11" t="n">
        <v>152</v>
      </c>
      <c r="B155" s="12" t="n">
        <v>46195</v>
      </c>
      <c r="C155" s="13" t="s">
        <v>14</v>
      </c>
      <c r="D155" s="13" t="s">
        <v>53</v>
      </c>
      <c r="E155" s="13" t="s">
        <v>55</v>
      </c>
      <c r="F155" s="14" t="s">
        <v>28</v>
      </c>
      <c r="G155" s="13" t="s">
        <v>25</v>
      </c>
      <c r="H155" s="11" t="s">
        <v>19</v>
      </c>
      <c r="I155" s="15" t="n">
        <v>7475</v>
      </c>
      <c r="J155" s="15" t="n">
        <v>9092</v>
      </c>
      <c r="K155" s="16" t="n">
        <v>8140</v>
      </c>
      <c r="L155" s="17" t="n">
        <v>26</v>
      </c>
    </row>
    <row r="156" customFormat="false" ht="15" hidden="false" customHeight="false" outlineLevel="0" collapsed="false">
      <c r="A156" s="4" t="n">
        <v>153</v>
      </c>
      <c r="B156" s="5" t="n">
        <v>46195</v>
      </c>
      <c r="C156" s="6" t="s">
        <v>14</v>
      </c>
      <c r="D156" s="6" t="s">
        <v>53</v>
      </c>
      <c r="E156" s="6" t="s">
        <v>55</v>
      </c>
      <c r="F156" s="7" t="s">
        <v>29</v>
      </c>
      <c r="G156" s="6" t="s">
        <v>30</v>
      </c>
      <c r="H156" s="4" t="s">
        <v>19</v>
      </c>
      <c r="I156" s="8" t="n">
        <v>5954</v>
      </c>
      <c r="J156" s="8" t="n">
        <v>6930</v>
      </c>
      <c r="K156" s="9" t="n">
        <v>6583</v>
      </c>
      <c r="L156" s="10" t="n">
        <v>140.6</v>
      </c>
    </row>
    <row r="157" customFormat="false" ht="15" hidden="false" customHeight="false" outlineLevel="0" collapsed="false">
      <c r="A157" s="11" t="n">
        <v>154</v>
      </c>
      <c r="B157" s="12" t="n">
        <v>46195</v>
      </c>
      <c r="C157" s="13" t="s">
        <v>14</v>
      </c>
      <c r="D157" s="13" t="s">
        <v>53</v>
      </c>
      <c r="E157" s="13" t="s">
        <v>55</v>
      </c>
      <c r="F157" s="14" t="s">
        <v>31</v>
      </c>
      <c r="G157" s="13" t="s">
        <v>30</v>
      </c>
      <c r="H157" s="11" t="s">
        <v>19</v>
      </c>
      <c r="I157" s="15" t="n">
        <v>5178</v>
      </c>
      <c r="J157" s="15" t="n">
        <v>6334</v>
      </c>
      <c r="K157" s="16" t="n">
        <v>5813</v>
      </c>
      <c r="L157" s="17" t="n">
        <v>131.2</v>
      </c>
    </row>
    <row r="158" customFormat="false" ht="15" hidden="false" customHeight="false" outlineLevel="0" collapsed="false">
      <c r="A158" s="4" t="n">
        <v>155</v>
      </c>
      <c r="B158" s="5" t="n">
        <v>46195</v>
      </c>
      <c r="C158" s="6" t="s">
        <v>14</v>
      </c>
      <c r="D158" s="6" t="s">
        <v>56</v>
      </c>
      <c r="E158" s="6" t="s">
        <v>57</v>
      </c>
      <c r="F158" s="7" t="s">
        <v>17</v>
      </c>
      <c r="G158" s="6" t="s">
        <v>18</v>
      </c>
      <c r="H158" s="4" t="s">
        <v>19</v>
      </c>
      <c r="I158" s="8" t="n">
        <v>2233</v>
      </c>
      <c r="J158" s="8" t="n">
        <v>2491</v>
      </c>
      <c r="K158" s="9" t="n">
        <v>2359</v>
      </c>
      <c r="L158" s="10" t="n">
        <v>531.9</v>
      </c>
    </row>
    <row r="159" customFormat="false" ht="15" hidden="false" customHeight="false" outlineLevel="0" collapsed="false">
      <c r="A159" s="11" t="n">
        <v>156</v>
      </c>
      <c r="B159" s="12" t="n">
        <v>46195</v>
      </c>
      <c r="C159" s="13" t="s">
        <v>14</v>
      </c>
      <c r="D159" s="13" t="s">
        <v>56</v>
      </c>
      <c r="E159" s="13" t="s">
        <v>57</v>
      </c>
      <c r="F159" s="14" t="s">
        <v>20</v>
      </c>
      <c r="G159" s="13" t="s">
        <v>18</v>
      </c>
      <c r="H159" s="11" t="s">
        <v>19</v>
      </c>
      <c r="I159" s="15" t="n">
        <v>2420</v>
      </c>
      <c r="J159" s="15" t="n">
        <v>2974</v>
      </c>
      <c r="K159" s="16" t="n">
        <v>2592</v>
      </c>
      <c r="L159" s="17" t="n">
        <v>129.8</v>
      </c>
    </row>
    <row r="160" customFormat="false" ht="15" hidden="false" customHeight="false" outlineLevel="0" collapsed="false">
      <c r="A160" s="4" t="n">
        <v>157</v>
      </c>
      <c r="B160" s="5" t="n">
        <v>46195</v>
      </c>
      <c r="C160" s="6" t="s">
        <v>14</v>
      </c>
      <c r="D160" s="6" t="s">
        <v>56</v>
      </c>
      <c r="E160" s="6" t="s">
        <v>57</v>
      </c>
      <c r="F160" s="7" t="s">
        <v>21</v>
      </c>
      <c r="G160" s="6" t="s">
        <v>18</v>
      </c>
      <c r="H160" s="4" t="s">
        <v>19</v>
      </c>
      <c r="I160" s="8" t="n">
        <v>2295</v>
      </c>
      <c r="J160" s="8" t="n">
        <v>2664</v>
      </c>
      <c r="K160" s="9" t="n">
        <v>2515</v>
      </c>
      <c r="L160" s="10" t="n">
        <v>454.5</v>
      </c>
    </row>
    <row r="161" customFormat="false" ht="15" hidden="false" customHeight="false" outlineLevel="0" collapsed="false">
      <c r="A161" s="11" t="n">
        <v>158</v>
      </c>
      <c r="B161" s="12" t="n">
        <v>46195</v>
      </c>
      <c r="C161" s="13" t="s">
        <v>14</v>
      </c>
      <c r="D161" s="13" t="s">
        <v>56</v>
      </c>
      <c r="E161" s="13" t="s">
        <v>57</v>
      </c>
      <c r="F161" s="14" t="s">
        <v>22</v>
      </c>
      <c r="G161" s="13" t="s">
        <v>18</v>
      </c>
      <c r="H161" s="11" t="s">
        <v>19</v>
      </c>
      <c r="I161" s="15" t="n">
        <v>3393</v>
      </c>
      <c r="J161" s="15" t="n">
        <v>3942</v>
      </c>
      <c r="K161" s="16" t="n">
        <v>3838</v>
      </c>
      <c r="L161" s="17" t="n">
        <v>39.6</v>
      </c>
    </row>
    <row r="162" customFormat="false" ht="15" hidden="false" customHeight="false" outlineLevel="0" collapsed="false">
      <c r="A162" s="4" t="n">
        <v>159</v>
      </c>
      <c r="B162" s="5" t="n">
        <v>46195</v>
      </c>
      <c r="C162" s="6" t="s">
        <v>14</v>
      </c>
      <c r="D162" s="6" t="s">
        <v>56</v>
      </c>
      <c r="E162" s="6" t="s">
        <v>57</v>
      </c>
      <c r="F162" s="7" t="s">
        <v>23</v>
      </c>
      <c r="G162" s="6" t="s">
        <v>18</v>
      </c>
      <c r="H162" s="4" t="s">
        <v>19</v>
      </c>
      <c r="I162" s="8" t="n">
        <v>2341</v>
      </c>
      <c r="J162" s="8" t="n">
        <v>2791</v>
      </c>
      <c r="K162" s="9" t="n">
        <v>2497</v>
      </c>
      <c r="L162" s="10" t="n">
        <v>24.1</v>
      </c>
    </row>
    <row r="163" customFormat="false" ht="15" hidden="false" customHeight="false" outlineLevel="0" collapsed="false">
      <c r="A163" s="11" t="n">
        <v>160</v>
      </c>
      <c r="B163" s="12" t="n">
        <v>46195</v>
      </c>
      <c r="C163" s="13" t="s">
        <v>14</v>
      </c>
      <c r="D163" s="13" t="s">
        <v>56</v>
      </c>
      <c r="E163" s="13" t="s">
        <v>57</v>
      </c>
      <c r="F163" s="14" t="s">
        <v>24</v>
      </c>
      <c r="G163" s="13" t="s">
        <v>25</v>
      </c>
      <c r="H163" s="11" t="s">
        <v>19</v>
      </c>
      <c r="I163" s="15" t="n">
        <v>6145</v>
      </c>
      <c r="J163" s="15" t="n">
        <v>7344</v>
      </c>
      <c r="K163" s="16" t="n">
        <v>6786</v>
      </c>
      <c r="L163" s="17" t="n">
        <v>174.4</v>
      </c>
    </row>
    <row r="164" customFormat="false" ht="15" hidden="false" customHeight="false" outlineLevel="0" collapsed="false">
      <c r="A164" s="4" t="n">
        <v>161</v>
      </c>
      <c r="B164" s="5" t="n">
        <v>46195</v>
      </c>
      <c r="C164" s="6" t="s">
        <v>14</v>
      </c>
      <c r="D164" s="6" t="s">
        <v>56</v>
      </c>
      <c r="E164" s="6" t="s">
        <v>57</v>
      </c>
      <c r="F164" s="7" t="s">
        <v>26</v>
      </c>
      <c r="G164" s="6" t="s">
        <v>25</v>
      </c>
      <c r="H164" s="4" t="s">
        <v>19</v>
      </c>
      <c r="I164" s="8" t="n">
        <v>5510</v>
      </c>
      <c r="J164" s="8" t="n">
        <v>6910</v>
      </c>
      <c r="K164" s="9" t="n">
        <v>6104</v>
      </c>
      <c r="L164" s="10" t="n">
        <v>49.3</v>
      </c>
    </row>
    <row r="165" customFormat="false" ht="15" hidden="false" customHeight="false" outlineLevel="0" collapsed="false">
      <c r="A165" s="11" t="n">
        <v>162</v>
      </c>
      <c r="B165" s="12" t="n">
        <v>46195</v>
      </c>
      <c r="C165" s="13" t="s">
        <v>14</v>
      </c>
      <c r="D165" s="13" t="s">
        <v>56</v>
      </c>
      <c r="E165" s="13" t="s">
        <v>57</v>
      </c>
      <c r="F165" s="14" t="s">
        <v>27</v>
      </c>
      <c r="G165" s="13" t="s">
        <v>25</v>
      </c>
      <c r="H165" s="11" t="s">
        <v>19</v>
      </c>
      <c r="I165" s="15" t="n">
        <v>9632</v>
      </c>
      <c r="J165" s="15" t="n">
        <v>11411</v>
      </c>
      <c r="K165" s="16" t="n">
        <v>10421</v>
      </c>
      <c r="L165" s="17" t="n">
        <v>58.5</v>
      </c>
    </row>
    <row r="166" customFormat="false" ht="15" hidden="false" customHeight="false" outlineLevel="0" collapsed="false">
      <c r="A166" s="4" t="n">
        <v>163</v>
      </c>
      <c r="B166" s="5" t="n">
        <v>46195</v>
      </c>
      <c r="C166" s="6" t="s">
        <v>14</v>
      </c>
      <c r="D166" s="6" t="s">
        <v>56</v>
      </c>
      <c r="E166" s="6" t="s">
        <v>57</v>
      </c>
      <c r="F166" s="7" t="s">
        <v>28</v>
      </c>
      <c r="G166" s="6" t="s">
        <v>25</v>
      </c>
      <c r="H166" s="4" t="s">
        <v>19</v>
      </c>
      <c r="I166" s="8" t="n">
        <v>7290</v>
      </c>
      <c r="J166" s="8" t="n">
        <v>8746</v>
      </c>
      <c r="K166" s="9" t="n">
        <v>7649</v>
      </c>
      <c r="L166" s="10" t="n">
        <v>17.1</v>
      </c>
    </row>
    <row r="167" customFormat="false" ht="15" hidden="false" customHeight="false" outlineLevel="0" collapsed="false">
      <c r="A167" s="11" t="n">
        <v>164</v>
      </c>
      <c r="B167" s="12" t="n">
        <v>46195</v>
      </c>
      <c r="C167" s="13" t="s">
        <v>14</v>
      </c>
      <c r="D167" s="13" t="s">
        <v>56</v>
      </c>
      <c r="E167" s="13" t="s">
        <v>57</v>
      </c>
      <c r="F167" s="14" t="s">
        <v>29</v>
      </c>
      <c r="G167" s="13" t="s">
        <v>30</v>
      </c>
      <c r="H167" s="11" t="s">
        <v>19</v>
      </c>
      <c r="I167" s="15" t="n">
        <v>5692</v>
      </c>
      <c r="J167" s="15" t="n">
        <v>6572</v>
      </c>
      <c r="K167" s="16" t="n">
        <v>6119</v>
      </c>
      <c r="L167" s="17" t="n">
        <v>272.8</v>
      </c>
    </row>
    <row r="168" customFormat="false" ht="15" hidden="false" customHeight="false" outlineLevel="0" collapsed="false">
      <c r="A168" s="4" t="n">
        <v>165</v>
      </c>
      <c r="B168" s="5" t="n">
        <v>46195</v>
      </c>
      <c r="C168" s="6" t="s">
        <v>14</v>
      </c>
      <c r="D168" s="6" t="s">
        <v>56</v>
      </c>
      <c r="E168" s="6" t="s">
        <v>58</v>
      </c>
      <c r="F168" s="7" t="s">
        <v>17</v>
      </c>
      <c r="G168" s="6" t="s">
        <v>18</v>
      </c>
      <c r="H168" s="4" t="s">
        <v>19</v>
      </c>
      <c r="I168" s="8" t="n">
        <v>2199</v>
      </c>
      <c r="J168" s="8" t="n">
        <v>2558</v>
      </c>
      <c r="K168" s="9" t="n">
        <v>2372</v>
      </c>
      <c r="L168" s="10" t="n">
        <v>451.7</v>
      </c>
    </row>
    <row r="169" customFormat="false" ht="15" hidden="false" customHeight="false" outlineLevel="0" collapsed="false">
      <c r="A169" s="11" t="n">
        <v>166</v>
      </c>
      <c r="B169" s="12" t="n">
        <v>46195</v>
      </c>
      <c r="C169" s="13" t="s">
        <v>14</v>
      </c>
      <c r="D169" s="13" t="s">
        <v>56</v>
      </c>
      <c r="E169" s="13" t="s">
        <v>58</v>
      </c>
      <c r="F169" s="14" t="s">
        <v>20</v>
      </c>
      <c r="G169" s="13" t="s">
        <v>18</v>
      </c>
      <c r="H169" s="11" t="s">
        <v>19</v>
      </c>
      <c r="I169" s="15" t="n">
        <v>2550</v>
      </c>
      <c r="J169" s="15" t="n">
        <v>2788</v>
      </c>
      <c r="K169" s="16" t="n">
        <v>2631</v>
      </c>
      <c r="L169" s="17" t="n">
        <v>107.2</v>
      </c>
    </row>
    <row r="170" customFormat="false" ht="15" hidden="false" customHeight="false" outlineLevel="0" collapsed="false">
      <c r="A170" s="4" t="n">
        <v>167</v>
      </c>
      <c r="B170" s="5" t="n">
        <v>46195</v>
      </c>
      <c r="C170" s="6" t="s">
        <v>14</v>
      </c>
      <c r="D170" s="6" t="s">
        <v>56</v>
      </c>
      <c r="E170" s="6" t="s">
        <v>58</v>
      </c>
      <c r="F170" s="7" t="s">
        <v>21</v>
      </c>
      <c r="G170" s="6" t="s">
        <v>18</v>
      </c>
      <c r="H170" s="4" t="s">
        <v>19</v>
      </c>
      <c r="I170" s="8" t="n">
        <v>2505</v>
      </c>
      <c r="J170" s="8" t="n">
        <v>3025</v>
      </c>
      <c r="K170" s="9" t="n">
        <v>2646</v>
      </c>
      <c r="L170" s="10" t="n">
        <v>246.4</v>
      </c>
    </row>
    <row r="171" customFormat="false" ht="15" hidden="false" customHeight="false" outlineLevel="0" collapsed="false">
      <c r="A171" s="11" t="n">
        <v>168</v>
      </c>
      <c r="B171" s="12" t="n">
        <v>46195</v>
      </c>
      <c r="C171" s="13" t="s">
        <v>14</v>
      </c>
      <c r="D171" s="13" t="s">
        <v>56</v>
      </c>
      <c r="E171" s="13" t="s">
        <v>58</v>
      </c>
      <c r="F171" s="14" t="s">
        <v>22</v>
      </c>
      <c r="G171" s="13" t="s">
        <v>18</v>
      </c>
      <c r="H171" s="11" t="s">
        <v>19</v>
      </c>
      <c r="I171" s="15" t="n">
        <v>3657</v>
      </c>
      <c r="J171" s="15" t="n">
        <v>4050</v>
      </c>
      <c r="K171" s="16" t="n">
        <v>3893</v>
      </c>
      <c r="L171" s="17" t="n">
        <v>32.7</v>
      </c>
    </row>
    <row r="172" customFormat="false" ht="15" hidden="false" customHeight="false" outlineLevel="0" collapsed="false">
      <c r="A172" s="4" t="n">
        <v>169</v>
      </c>
      <c r="B172" s="5" t="n">
        <v>46195</v>
      </c>
      <c r="C172" s="6" t="s">
        <v>14</v>
      </c>
      <c r="D172" s="6" t="s">
        <v>56</v>
      </c>
      <c r="E172" s="6" t="s">
        <v>58</v>
      </c>
      <c r="F172" s="7" t="s">
        <v>23</v>
      </c>
      <c r="G172" s="6" t="s">
        <v>18</v>
      </c>
      <c r="H172" s="4" t="s">
        <v>19</v>
      </c>
      <c r="I172" s="8" t="n">
        <v>1913</v>
      </c>
      <c r="J172" s="8" t="n">
        <v>2344</v>
      </c>
      <c r="K172" s="9" t="n">
        <v>2173</v>
      </c>
      <c r="L172" s="10" t="n">
        <v>48.3</v>
      </c>
    </row>
    <row r="173" customFormat="false" ht="15" hidden="false" customHeight="false" outlineLevel="0" collapsed="false">
      <c r="A173" s="11" t="n">
        <v>170</v>
      </c>
      <c r="B173" s="12" t="n">
        <v>46195</v>
      </c>
      <c r="C173" s="13" t="s">
        <v>14</v>
      </c>
      <c r="D173" s="13" t="s">
        <v>56</v>
      </c>
      <c r="E173" s="13" t="s">
        <v>58</v>
      </c>
      <c r="F173" s="14" t="s">
        <v>24</v>
      </c>
      <c r="G173" s="13" t="s">
        <v>25</v>
      </c>
      <c r="H173" s="11" t="s">
        <v>19</v>
      </c>
      <c r="I173" s="15" t="n">
        <v>6409</v>
      </c>
      <c r="J173" s="15" t="n">
        <v>7910</v>
      </c>
      <c r="K173" s="16" t="n">
        <v>7114</v>
      </c>
      <c r="L173" s="17" t="n">
        <v>261.6</v>
      </c>
    </row>
    <row r="174" customFormat="false" ht="15" hidden="false" customHeight="false" outlineLevel="0" collapsed="false">
      <c r="A174" s="4" t="n">
        <v>171</v>
      </c>
      <c r="B174" s="5" t="n">
        <v>46195</v>
      </c>
      <c r="C174" s="6" t="s">
        <v>14</v>
      </c>
      <c r="D174" s="6" t="s">
        <v>56</v>
      </c>
      <c r="E174" s="6" t="s">
        <v>58</v>
      </c>
      <c r="F174" s="7" t="s">
        <v>26</v>
      </c>
      <c r="G174" s="6" t="s">
        <v>25</v>
      </c>
      <c r="H174" s="4" t="s">
        <v>19</v>
      </c>
      <c r="I174" s="8" t="n">
        <v>5311</v>
      </c>
      <c r="J174" s="8" t="n">
        <v>6429</v>
      </c>
      <c r="K174" s="9" t="n">
        <v>5639</v>
      </c>
      <c r="L174" s="10" t="n">
        <v>115.8</v>
      </c>
    </row>
    <row r="175" customFormat="false" ht="15" hidden="false" customHeight="false" outlineLevel="0" collapsed="false">
      <c r="A175" s="11" t="n">
        <v>172</v>
      </c>
      <c r="B175" s="12" t="n">
        <v>46195</v>
      </c>
      <c r="C175" s="13" t="s">
        <v>14</v>
      </c>
      <c r="D175" s="13" t="s">
        <v>56</v>
      </c>
      <c r="E175" s="13" t="s">
        <v>58</v>
      </c>
      <c r="F175" s="14" t="s">
        <v>27</v>
      </c>
      <c r="G175" s="13" t="s">
        <v>25</v>
      </c>
      <c r="H175" s="11" t="s">
        <v>19</v>
      </c>
      <c r="I175" s="15" t="n">
        <v>10733</v>
      </c>
      <c r="J175" s="15" t="n">
        <v>13039</v>
      </c>
      <c r="K175" s="16" t="n">
        <v>11424</v>
      </c>
      <c r="L175" s="17" t="n">
        <v>44.2</v>
      </c>
    </row>
    <row r="176" customFormat="false" ht="15" hidden="false" customHeight="false" outlineLevel="0" collapsed="false">
      <c r="A176" s="4" t="n">
        <v>173</v>
      </c>
      <c r="B176" s="5" t="n">
        <v>46195</v>
      </c>
      <c r="C176" s="6" t="s">
        <v>14</v>
      </c>
      <c r="D176" s="6" t="s">
        <v>56</v>
      </c>
      <c r="E176" s="6" t="s">
        <v>58</v>
      </c>
      <c r="F176" s="7" t="s">
        <v>28</v>
      </c>
      <c r="G176" s="6" t="s">
        <v>25</v>
      </c>
      <c r="H176" s="4" t="s">
        <v>19</v>
      </c>
      <c r="I176" s="8" t="n">
        <v>7655</v>
      </c>
      <c r="J176" s="8" t="n">
        <v>9285</v>
      </c>
      <c r="K176" s="9" t="n">
        <v>8158</v>
      </c>
      <c r="L176" s="10" t="n">
        <v>44.1</v>
      </c>
    </row>
    <row r="177" customFormat="false" ht="15" hidden="false" customHeight="false" outlineLevel="0" collapsed="false">
      <c r="A177" s="11" t="n">
        <v>174</v>
      </c>
      <c r="B177" s="12" t="n">
        <v>46195</v>
      </c>
      <c r="C177" s="13" t="s">
        <v>14</v>
      </c>
      <c r="D177" s="13" t="s">
        <v>56</v>
      </c>
      <c r="E177" s="13" t="s">
        <v>58</v>
      </c>
      <c r="F177" s="14" t="s">
        <v>29</v>
      </c>
      <c r="G177" s="13" t="s">
        <v>30</v>
      </c>
      <c r="H177" s="11" t="s">
        <v>19</v>
      </c>
      <c r="I177" s="15" t="n">
        <v>5315</v>
      </c>
      <c r="J177" s="15" t="n">
        <v>6295</v>
      </c>
      <c r="K177" s="16" t="n">
        <v>5939</v>
      </c>
      <c r="L177" s="17" t="n">
        <v>315.4</v>
      </c>
    </row>
    <row r="178" customFormat="false" ht="15" hidden="false" customHeight="false" outlineLevel="0" collapsed="false">
      <c r="A178" s="4" t="n">
        <v>175</v>
      </c>
      <c r="B178" s="5" t="n">
        <v>46195</v>
      </c>
      <c r="C178" s="6" t="s">
        <v>14</v>
      </c>
      <c r="D178" s="6" t="s">
        <v>56</v>
      </c>
      <c r="E178" s="6" t="s">
        <v>58</v>
      </c>
      <c r="F178" s="7" t="s">
        <v>31</v>
      </c>
      <c r="G178" s="6" t="s">
        <v>30</v>
      </c>
      <c r="H178" s="4" t="s">
        <v>19</v>
      </c>
      <c r="I178" s="8" t="n">
        <v>5601</v>
      </c>
      <c r="J178" s="8" t="n">
        <v>6406</v>
      </c>
      <c r="K178" s="9" t="n">
        <v>6182</v>
      </c>
      <c r="L178" s="10" t="n">
        <v>122.8</v>
      </c>
    </row>
    <row r="179" customFormat="false" ht="15" hidden="false" customHeight="false" outlineLevel="0" collapsed="false">
      <c r="A179" s="11" t="n">
        <v>176</v>
      </c>
      <c r="B179" s="12" t="n">
        <v>46195</v>
      </c>
      <c r="C179" s="13" t="s">
        <v>14</v>
      </c>
      <c r="D179" s="13" t="s">
        <v>56</v>
      </c>
      <c r="E179" s="13" t="s">
        <v>58</v>
      </c>
      <c r="F179" s="14" t="s">
        <v>32</v>
      </c>
      <c r="G179" s="13" t="s">
        <v>30</v>
      </c>
      <c r="H179" s="11" t="s">
        <v>19</v>
      </c>
      <c r="I179" s="15" t="n">
        <v>4777</v>
      </c>
      <c r="J179" s="15" t="n">
        <v>5372</v>
      </c>
      <c r="K179" s="16" t="n">
        <v>4951</v>
      </c>
      <c r="L179" s="17" t="n">
        <v>178.1</v>
      </c>
    </row>
    <row r="180" customFormat="false" ht="15" hidden="false" customHeight="false" outlineLevel="0" collapsed="false">
      <c r="A180" s="4" t="n">
        <v>177</v>
      </c>
      <c r="B180" s="5" t="n">
        <v>46195</v>
      </c>
      <c r="C180" s="6" t="s">
        <v>14</v>
      </c>
      <c r="D180" s="6" t="s">
        <v>56</v>
      </c>
      <c r="E180" s="6" t="s">
        <v>58</v>
      </c>
      <c r="F180" s="7" t="s">
        <v>33</v>
      </c>
      <c r="G180" s="6" t="s">
        <v>30</v>
      </c>
      <c r="H180" s="4" t="s">
        <v>19</v>
      </c>
      <c r="I180" s="8" t="n">
        <v>6001</v>
      </c>
      <c r="J180" s="8" t="n">
        <v>7309</v>
      </c>
      <c r="K180" s="9" t="n">
        <v>6792</v>
      </c>
      <c r="L180" s="10" t="n">
        <v>84.5</v>
      </c>
    </row>
    <row r="181" customFormat="false" ht="15" hidden="false" customHeight="false" outlineLevel="0" collapsed="false">
      <c r="A181" s="11" t="n">
        <v>178</v>
      </c>
      <c r="B181" s="12" t="n">
        <v>46195</v>
      </c>
      <c r="C181" s="13" t="s">
        <v>14</v>
      </c>
      <c r="D181" s="13" t="s">
        <v>56</v>
      </c>
      <c r="E181" s="13" t="s">
        <v>58</v>
      </c>
      <c r="F181" s="14" t="s">
        <v>34</v>
      </c>
      <c r="G181" s="13" t="s">
        <v>30</v>
      </c>
      <c r="H181" s="11" t="s">
        <v>19</v>
      </c>
      <c r="I181" s="15" t="n">
        <v>19613</v>
      </c>
      <c r="J181" s="15" t="n">
        <v>25284</v>
      </c>
      <c r="K181" s="16" t="n">
        <v>22081</v>
      </c>
      <c r="L181" s="17" t="n">
        <v>44.4</v>
      </c>
    </row>
    <row r="182" customFormat="false" ht="15" hidden="false" customHeight="false" outlineLevel="0" collapsed="false">
      <c r="A182" s="4" t="n">
        <v>179</v>
      </c>
      <c r="B182" s="5" t="n">
        <v>46195</v>
      </c>
      <c r="C182" s="6" t="s">
        <v>14</v>
      </c>
      <c r="D182" s="6" t="s">
        <v>56</v>
      </c>
      <c r="E182" s="6" t="s">
        <v>58</v>
      </c>
      <c r="F182" s="7" t="s">
        <v>35</v>
      </c>
      <c r="G182" s="6" t="s">
        <v>30</v>
      </c>
      <c r="H182" s="4" t="s">
        <v>19</v>
      </c>
      <c r="I182" s="8" t="n">
        <v>5374</v>
      </c>
      <c r="J182" s="8" t="n">
        <v>6401</v>
      </c>
      <c r="K182" s="9" t="n">
        <v>5566</v>
      </c>
      <c r="L182" s="10" t="n">
        <v>46.7</v>
      </c>
    </row>
    <row r="183" customFormat="false" ht="15" hidden="false" customHeight="false" outlineLevel="0" collapsed="false">
      <c r="A183" s="11" t="n">
        <v>180</v>
      </c>
      <c r="B183" s="12" t="n">
        <v>46195</v>
      </c>
      <c r="C183" s="13" t="s">
        <v>14</v>
      </c>
      <c r="D183" s="13" t="s">
        <v>56</v>
      </c>
      <c r="E183" s="13" t="s">
        <v>58</v>
      </c>
      <c r="F183" s="14" t="s">
        <v>36</v>
      </c>
      <c r="G183" s="13" t="s">
        <v>37</v>
      </c>
      <c r="H183" s="11" t="s">
        <v>19</v>
      </c>
      <c r="I183" s="15" t="n">
        <v>6328</v>
      </c>
      <c r="J183" s="15" t="n">
        <v>8008</v>
      </c>
      <c r="K183" s="16" t="n">
        <v>7161</v>
      </c>
      <c r="L183" s="17" t="n">
        <v>116.7</v>
      </c>
    </row>
    <row r="184" customFormat="false" ht="15" hidden="false" customHeight="false" outlineLevel="0" collapsed="false">
      <c r="A184" s="4" t="n">
        <v>181</v>
      </c>
      <c r="B184" s="5" t="n">
        <v>46195</v>
      </c>
      <c r="C184" s="6" t="s">
        <v>14</v>
      </c>
      <c r="D184" s="6" t="s">
        <v>56</v>
      </c>
      <c r="E184" s="6" t="s">
        <v>58</v>
      </c>
      <c r="F184" s="7" t="s">
        <v>38</v>
      </c>
      <c r="G184" s="6" t="s">
        <v>39</v>
      </c>
      <c r="H184" s="4" t="s">
        <v>19</v>
      </c>
      <c r="I184" s="8" t="n">
        <v>1478</v>
      </c>
      <c r="J184" s="8" t="n">
        <v>1603</v>
      </c>
      <c r="K184" s="9" t="n">
        <v>1536</v>
      </c>
      <c r="L184" s="10" t="n">
        <v>431.2</v>
      </c>
    </row>
    <row r="185" customFormat="false" ht="15" hidden="false" customHeight="false" outlineLevel="0" collapsed="false">
      <c r="A185" s="11" t="n">
        <v>182</v>
      </c>
      <c r="B185" s="12" t="n">
        <v>46195</v>
      </c>
      <c r="C185" s="13" t="s">
        <v>14</v>
      </c>
      <c r="D185" s="13" t="s">
        <v>59</v>
      </c>
      <c r="E185" s="13" t="s">
        <v>60</v>
      </c>
      <c r="F185" s="14" t="s">
        <v>17</v>
      </c>
      <c r="G185" s="13" t="s">
        <v>18</v>
      </c>
      <c r="H185" s="11" t="s">
        <v>19</v>
      </c>
      <c r="I185" s="15" t="n">
        <v>2521</v>
      </c>
      <c r="J185" s="15" t="n">
        <v>2817</v>
      </c>
      <c r="K185" s="16" t="n">
        <v>2606</v>
      </c>
      <c r="L185" s="17" t="n">
        <v>433</v>
      </c>
    </row>
    <row r="186" customFormat="false" ht="15" hidden="false" customHeight="false" outlineLevel="0" collapsed="false">
      <c r="A186" s="4" t="n">
        <v>183</v>
      </c>
      <c r="B186" s="5" t="n">
        <v>46195</v>
      </c>
      <c r="C186" s="6" t="s">
        <v>14</v>
      </c>
      <c r="D186" s="6" t="s">
        <v>59</v>
      </c>
      <c r="E186" s="6" t="s">
        <v>60</v>
      </c>
      <c r="F186" s="7" t="s">
        <v>20</v>
      </c>
      <c r="G186" s="6" t="s">
        <v>18</v>
      </c>
      <c r="H186" s="4" t="s">
        <v>19</v>
      </c>
      <c r="I186" s="8" t="n">
        <v>2150</v>
      </c>
      <c r="J186" s="8" t="n">
        <v>2516</v>
      </c>
      <c r="K186" s="9" t="n">
        <v>2417</v>
      </c>
      <c r="L186" s="10" t="n">
        <v>84.9</v>
      </c>
    </row>
    <row r="187" customFormat="false" ht="15" hidden="false" customHeight="false" outlineLevel="0" collapsed="false">
      <c r="A187" s="11" t="n">
        <v>184</v>
      </c>
      <c r="B187" s="12" t="n">
        <v>46195</v>
      </c>
      <c r="C187" s="13" t="s">
        <v>14</v>
      </c>
      <c r="D187" s="13" t="s">
        <v>59</v>
      </c>
      <c r="E187" s="13" t="s">
        <v>60</v>
      </c>
      <c r="F187" s="14" t="s">
        <v>21</v>
      </c>
      <c r="G187" s="13" t="s">
        <v>18</v>
      </c>
      <c r="H187" s="11" t="s">
        <v>19</v>
      </c>
      <c r="I187" s="15" t="n">
        <v>2441</v>
      </c>
      <c r="J187" s="15" t="n">
        <v>2785</v>
      </c>
      <c r="K187" s="16" t="n">
        <v>2598</v>
      </c>
      <c r="L187" s="17" t="n">
        <v>476.4</v>
      </c>
    </row>
    <row r="188" customFormat="false" ht="15" hidden="false" customHeight="false" outlineLevel="0" collapsed="false">
      <c r="A188" s="4" t="n">
        <v>185</v>
      </c>
      <c r="B188" s="5" t="n">
        <v>46195</v>
      </c>
      <c r="C188" s="6" t="s">
        <v>14</v>
      </c>
      <c r="D188" s="6" t="s">
        <v>59</v>
      </c>
      <c r="E188" s="6" t="s">
        <v>60</v>
      </c>
      <c r="F188" s="7" t="s">
        <v>22</v>
      </c>
      <c r="G188" s="6" t="s">
        <v>18</v>
      </c>
      <c r="H188" s="4" t="s">
        <v>19</v>
      </c>
      <c r="I188" s="8" t="n">
        <v>3355</v>
      </c>
      <c r="J188" s="8" t="n">
        <v>3979</v>
      </c>
      <c r="K188" s="9" t="n">
        <v>3779</v>
      </c>
      <c r="L188" s="10" t="n">
        <v>29.3</v>
      </c>
    </row>
    <row r="189" customFormat="false" ht="15" hidden="false" customHeight="false" outlineLevel="0" collapsed="false">
      <c r="A189" s="11" t="n">
        <v>186</v>
      </c>
      <c r="B189" s="12" t="n">
        <v>46195</v>
      </c>
      <c r="C189" s="13" t="s">
        <v>14</v>
      </c>
      <c r="D189" s="13" t="s">
        <v>59</v>
      </c>
      <c r="E189" s="13" t="s">
        <v>60</v>
      </c>
      <c r="F189" s="14" t="s">
        <v>23</v>
      </c>
      <c r="G189" s="13" t="s">
        <v>18</v>
      </c>
      <c r="H189" s="11" t="s">
        <v>19</v>
      </c>
      <c r="I189" s="15" t="n">
        <v>2330</v>
      </c>
      <c r="J189" s="15" t="n">
        <v>2743</v>
      </c>
      <c r="K189" s="16" t="n">
        <v>2433</v>
      </c>
      <c r="L189" s="17" t="n">
        <v>19.1</v>
      </c>
    </row>
    <row r="190" customFormat="false" ht="15" hidden="false" customHeight="false" outlineLevel="0" collapsed="false">
      <c r="A190" s="4" t="n">
        <v>187</v>
      </c>
      <c r="B190" s="5" t="n">
        <v>46195</v>
      </c>
      <c r="C190" s="6" t="s">
        <v>14</v>
      </c>
      <c r="D190" s="6" t="s">
        <v>59</v>
      </c>
      <c r="E190" s="6" t="s">
        <v>60</v>
      </c>
      <c r="F190" s="7" t="s">
        <v>24</v>
      </c>
      <c r="G190" s="6" t="s">
        <v>25</v>
      </c>
      <c r="H190" s="4" t="s">
        <v>19</v>
      </c>
      <c r="I190" s="8" t="n">
        <v>7184</v>
      </c>
      <c r="J190" s="8" t="n">
        <v>8006</v>
      </c>
      <c r="K190" s="9" t="n">
        <v>7795</v>
      </c>
      <c r="L190" s="10" t="n">
        <v>217.2</v>
      </c>
    </row>
    <row r="191" customFormat="false" ht="15" hidden="false" customHeight="false" outlineLevel="0" collapsed="false">
      <c r="A191" s="11" t="n">
        <v>188</v>
      </c>
      <c r="B191" s="12" t="n">
        <v>46195</v>
      </c>
      <c r="C191" s="13" t="s">
        <v>14</v>
      </c>
      <c r="D191" s="13" t="s">
        <v>59</v>
      </c>
      <c r="E191" s="13" t="s">
        <v>60</v>
      </c>
      <c r="F191" s="14" t="s">
        <v>26</v>
      </c>
      <c r="G191" s="13" t="s">
        <v>25</v>
      </c>
      <c r="H191" s="11" t="s">
        <v>19</v>
      </c>
      <c r="I191" s="15" t="n">
        <v>5357</v>
      </c>
      <c r="J191" s="15" t="n">
        <v>6241</v>
      </c>
      <c r="K191" s="16" t="n">
        <v>5792</v>
      </c>
      <c r="L191" s="17" t="n">
        <v>43.1</v>
      </c>
    </row>
    <row r="192" customFormat="false" ht="15" hidden="false" customHeight="false" outlineLevel="0" collapsed="false">
      <c r="A192" s="4" t="n">
        <v>189</v>
      </c>
      <c r="B192" s="5" t="n">
        <v>46195</v>
      </c>
      <c r="C192" s="6" t="s">
        <v>14</v>
      </c>
      <c r="D192" s="6" t="s">
        <v>59</v>
      </c>
      <c r="E192" s="6" t="s">
        <v>60</v>
      </c>
      <c r="F192" s="7" t="s">
        <v>27</v>
      </c>
      <c r="G192" s="6" t="s">
        <v>25</v>
      </c>
      <c r="H192" s="4" t="s">
        <v>19</v>
      </c>
      <c r="I192" s="8" t="n">
        <v>9616</v>
      </c>
      <c r="J192" s="8" t="n">
        <v>11402</v>
      </c>
      <c r="K192" s="9" t="n">
        <v>10783</v>
      </c>
      <c r="L192" s="10" t="n">
        <v>69.1</v>
      </c>
    </row>
    <row r="193" customFormat="false" ht="15" hidden="false" customHeight="false" outlineLevel="0" collapsed="false">
      <c r="A193" s="11" t="n">
        <v>190</v>
      </c>
      <c r="B193" s="12" t="n">
        <v>46195</v>
      </c>
      <c r="C193" s="13" t="s">
        <v>14</v>
      </c>
      <c r="D193" s="13" t="s">
        <v>59</v>
      </c>
      <c r="E193" s="13" t="s">
        <v>60</v>
      </c>
      <c r="F193" s="14" t="s">
        <v>28</v>
      </c>
      <c r="G193" s="13" t="s">
        <v>25</v>
      </c>
      <c r="H193" s="11" t="s">
        <v>19</v>
      </c>
      <c r="I193" s="15" t="n">
        <v>7131</v>
      </c>
      <c r="J193" s="15" t="n">
        <v>8903</v>
      </c>
      <c r="K193" s="16" t="n">
        <v>8080</v>
      </c>
      <c r="L193" s="17" t="n">
        <v>43.1</v>
      </c>
    </row>
    <row r="194" customFormat="false" ht="15" hidden="false" customHeight="false" outlineLevel="0" collapsed="false">
      <c r="A194" s="4" t="n">
        <v>191</v>
      </c>
      <c r="B194" s="5" t="n">
        <v>46195</v>
      </c>
      <c r="C194" s="6" t="s">
        <v>14</v>
      </c>
      <c r="D194" s="6" t="s">
        <v>59</v>
      </c>
      <c r="E194" s="6" t="s">
        <v>60</v>
      </c>
      <c r="F194" s="7" t="s">
        <v>29</v>
      </c>
      <c r="G194" s="6" t="s">
        <v>30</v>
      </c>
      <c r="H194" s="4" t="s">
        <v>19</v>
      </c>
      <c r="I194" s="8" t="n">
        <v>5984</v>
      </c>
      <c r="J194" s="8" t="n">
        <v>6734</v>
      </c>
      <c r="K194" s="9" t="n">
        <v>6590</v>
      </c>
      <c r="L194" s="10" t="n">
        <v>220.5</v>
      </c>
    </row>
    <row r="195" customFormat="false" ht="15" hidden="false" customHeight="false" outlineLevel="0" collapsed="false">
      <c r="A195" s="11" t="n">
        <v>192</v>
      </c>
      <c r="B195" s="12" t="n">
        <v>46195</v>
      </c>
      <c r="C195" s="13" t="s">
        <v>14</v>
      </c>
      <c r="D195" s="13" t="s">
        <v>59</v>
      </c>
      <c r="E195" s="13" t="s">
        <v>60</v>
      </c>
      <c r="F195" s="14" t="s">
        <v>31</v>
      </c>
      <c r="G195" s="13" t="s">
        <v>30</v>
      </c>
      <c r="H195" s="11" t="s">
        <v>19</v>
      </c>
      <c r="I195" s="15" t="n">
        <v>5586</v>
      </c>
      <c r="J195" s="15" t="n">
        <v>6048</v>
      </c>
      <c r="K195" s="16" t="n">
        <v>5845</v>
      </c>
      <c r="L195" s="17" t="n">
        <v>152.3</v>
      </c>
    </row>
    <row r="196" customFormat="false" ht="15" hidden="false" customHeight="false" outlineLevel="0" collapsed="false">
      <c r="A196" s="4" t="n">
        <v>193</v>
      </c>
      <c r="B196" s="5" t="n">
        <v>46195</v>
      </c>
      <c r="C196" s="6" t="s">
        <v>14</v>
      </c>
      <c r="D196" s="6" t="s">
        <v>59</v>
      </c>
      <c r="E196" s="6" t="s">
        <v>60</v>
      </c>
      <c r="F196" s="7" t="s">
        <v>32</v>
      </c>
      <c r="G196" s="6" t="s">
        <v>30</v>
      </c>
      <c r="H196" s="4" t="s">
        <v>19</v>
      </c>
      <c r="I196" s="8" t="n">
        <v>4390</v>
      </c>
      <c r="J196" s="8" t="n">
        <v>5605</v>
      </c>
      <c r="K196" s="9" t="n">
        <v>4911</v>
      </c>
      <c r="L196" s="10" t="n">
        <v>137.2</v>
      </c>
    </row>
    <row r="197" customFormat="false" ht="15" hidden="false" customHeight="false" outlineLevel="0" collapsed="false">
      <c r="A197" s="11" t="n">
        <v>194</v>
      </c>
      <c r="B197" s="12" t="n">
        <v>46195</v>
      </c>
      <c r="C197" s="13" t="s">
        <v>14</v>
      </c>
      <c r="D197" s="13" t="s">
        <v>59</v>
      </c>
      <c r="E197" s="13" t="s">
        <v>60</v>
      </c>
      <c r="F197" s="14" t="s">
        <v>33</v>
      </c>
      <c r="G197" s="13" t="s">
        <v>30</v>
      </c>
      <c r="H197" s="11" t="s">
        <v>19</v>
      </c>
      <c r="I197" s="15" t="n">
        <v>6899</v>
      </c>
      <c r="J197" s="15" t="n">
        <v>8142</v>
      </c>
      <c r="K197" s="16" t="n">
        <v>7520</v>
      </c>
      <c r="L197" s="17" t="n">
        <v>102.5</v>
      </c>
    </row>
    <row r="198" customFormat="false" ht="15" hidden="false" customHeight="false" outlineLevel="0" collapsed="false">
      <c r="A198" s="4" t="n">
        <v>195</v>
      </c>
      <c r="B198" s="5" t="n">
        <v>46195</v>
      </c>
      <c r="C198" s="6" t="s">
        <v>14</v>
      </c>
      <c r="D198" s="6" t="s">
        <v>59</v>
      </c>
      <c r="E198" s="6" t="s">
        <v>60</v>
      </c>
      <c r="F198" s="7" t="s">
        <v>34</v>
      </c>
      <c r="G198" s="6" t="s">
        <v>30</v>
      </c>
      <c r="H198" s="4" t="s">
        <v>19</v>
      </c>
      <c r="I198" s="8" t="n">
        <v>20397</v>
      </c>
      <c r="J198" s="8" t="n">
        <v>23864</v>
      </c>
      <c r="K198" s="9" t="n">
        <v>22841</v>
      </c>
      <c r="L198" s="10" t="n">
        <v>35.8</v>
      </c>
    </row>
    <row r="199" customFormat="false" ht="15" hidden="false" customHeight="false" outlineLevel="0" collapsed="false">
      <c r="A199" s="11" t="n">
        <v>196</v>
      </c>
      <c r="B199" s="12" t="n">
        <v>46195</v>
      </c>
      <c r="C199" s="13" t="s">
        <v>14</v>
      </c>
      <c r="D199" s="13" t="s">
        <v>59</v>
      </c>
      <c r="E199" s="13" t="s">
        <v>60</v>
      </c>
      <c r="F199" s="14" t="s">
        <v>35</v>
      </c>
      <c r="G199" s="13" t="s">
        <v>30</v>
      </c>
      <c r="H199" s="11" t="s">
        <v>19</v>
      </c>
      <c r="I199" s="15" t="n">
        <v>5101</v>
      </c>
      <c r="J199" s="15" t="n">
        <v>5883</v>
      </c>
      <c r="K199" s="16" t="n">
        <v>5717</v>
      </c>
      <c r="L199" s="17" t="n">
        <v>51.2</v>
      </c>
    </row>
    <row r="200" customFormat="false" ht="15" hidden="false" customHeight="false" outlineLevel="0" collapsed="false">
      <c r="A200" s="4" t="n">
        <v>197</v>
      </c>
      <c r="B200" s="5" t="n">
        <v>46195</v>
      </c>
      <c r="C200" s="6" t="s">
        <v>14</v>
      </c>
      <c r="D200" s="6" t="s">
        <v>59</v>
      </c>
      <c r="E200" s="6" t="s">
        <v>60</v>
      </c>
      <c r="F200" s="7" t="s">
        <v>36</v>
      </c>
      <c r="G200" s="6" t="s">
        <v>37</v>
      </c>
      <c r="H200" s="4" t="s">
        <v>19</v>
      </c>
      <c r="I200" s="8" t="n">
        <v>7154</v>
      </c>
      <c r="J200" s="8" t="n">
        <v>8819</v>
      </c>
      <c r="K200" s="9" t="n">
        <v>7857</v>
      </c>
      <c r="L200" s="10" t="n">
        <v>89</v>
      </c>
    </row>
    <row r="201" customFormat="false" ht="15" hidden="false" customHeight="false" outlineLevel="0" collapsed="false">
      <c r="A201" s="11" t="n">
        <v>198</v>
      </c>
      <c r="B201" s="12" t="n">
        <v>46195</v>
      </c>
      <c r="C201" s="13" t="s">
        <v>14</v>
      </c>
      <c r="D201" s="13" t="s">
        <v>59</v>
      </c>
      <c r="E201" s="13" t="s">
        <v>60</v>
      </c>
      <c r="F201" s="14" t="s">
        <v>38</v>
      </c>
      <c r="G201" s="13" t="s">
        <v>39</v>
      </c>
      <c r="H201" s="11" t="s">
        <v>19</v>
      </c>
      <c r="I201" s="15" t="n">
        <v>1306</v>
      </c>
      <c r="J201" s="15" t="n">
        <v>1559</v>
      </c>
      <c r="K201" s="16" t="n">
        <v>1381</v>
      </c>
      <c r="L201" s="17" t="n">
        <v>428.8</v>
      </c>
    </row>
    <row r="202" customFormat="false" ht="15" hidden="false" customHeight="false" outlineLevel="0" collapsed="false">
      <c r="A202" s="4" t="n">
        <v>199</v>
      </c>
      <c r="B202" s="5" t="n">
        <v>46195</v>
      </c>
      <c r="C202" s="6" t="s">
        <v>14</v>
      </c>
      <c r="D202" s="6" t="s">
        <v>59</v>
      </c>
      <c r="E202" s="6" t="s">
        <v>60</v>
      </c>
      <c r="F202" s="7" t="s">
        <v>40</v>
      </c>
      <c r="G202" s="6" t="s">
        <v>39</v>
      </c>
      <c r="H202" s="4" t="s">
        <v>19</v>
      </c>
      <c r="I202" s="8" t="n">
        <v>2161</v>
      </c>
      <c r="J202" s="8" t="n">
        <v>2432</v>
      </c>
      <c r="K202" s="9" t="n">
        <v>2256</v>
      </c>
      <c r="L202" s="10" t="n">
        <v>242.9</v>
      </c>
    </row>
    <row r="203" customFormat="false" ht="15" hidden="false" customHeight="false" outlineLevel="0" collapsed="false">
      <c r="A203" s="11" t="n">
        <v>200</v>
      </c>
      <c r="B203" s="12" t="n">
        <v>46195</v>
      </c>
      <c r="C203" s="13" t="s">
        <v>14</v>
      </c>
      <c r="D203" s="13" t="s">
        <v>59</v>
      </c>
      <c r="E203" s="13" t="s">
        <v>61</v>
      </c>
      <c r="F203" s="14" t="s">
        <v>17</v>
      </c>
      <c r="G203" s="13" t="s">
        <v>18</v>
      </c>
      <c r="H203" s="11" t="s">
        <v>19</v>
      </c>
      <c r="I203" s="15" t="n">
        <v>2324</v>
      </c>
      <c r="J203" s="15" t="n">
        <v>2700</v>
      </c>
      <c r="K203" s="16" t="n">
        <v>2502</v>
      </c>
      <c r="L203" s="17" t="n">
        <v>385.7</v>
      </c>
    </row>
    <row r="204" customFormat="false" ht="15" hidden="false" customHeight="false" outlineLevel="0" collapsed="false">
      <c r="A204" s="4" t="n">
        <v>201</v>
      </c>
      <c r="B204" s="5" t="n">
        <v>46195</v>
      </c>
      <c r="C204" s="6" t="s">
        <v>14</v>
      </c>
      <c r="D204" s="6" t="s">
        <v>59</v>
      </c>
      <c r="E204" s="6" t="s">
        <v>61</v>
      </c>
      <c r="F204" s="7" t="s">
        <v>20</v>
      </c>
      <c r="G204" s="6" t="s">
        <v>18</v>
      </c>
      <c r="H204" s="4" t="s">
        <v>19</v>
      </c>
      <c r="I204" s="8" t="n">
        <v>2229</v>
      </c>
      <c r="J204" s="8" t="n">
        <v>2587</v>
      </c>
      <c r="K204" s="9" t="n">
        <v>2364</v>
      </c>
      <c r="L204" s="10" t="n">
        <v>65.9</v>
      </c>
    </row>
    <row r="205" customFormat="false" ht="15" hidden="false" customHeight="false" outlineLevel="0" collapsed="false">
      <c r="A205" s="11" t="n">
        <v>202</v>
      </c>
      <c r="B205" s="12" t="n">
        <v>46195</v>
      </c>
      <c r="C205" s="13" t="s">
        <v>14</v>
      </c>
      <c r="D205" s="13" t="s">
        <v>59</v>
      </c>
      <c r="E205" s="13" t="s">
        <v>61</v>
      </c>
      <c r="F205" s="14" t="s">
        <v>21</v>
      </c>
      <c r="G205" s="13" t="s">
        <v>18</v>
      </c>
      <c r="H205" s="11" t="s">
        <v>19</v>
      </c>
      <c r="I205" s="15" t="n">
        <v>2400</v>
      </c>
      <c r="J205" s="15" t="n">
        <v>3032</v>
      </c>
      <c r="K205" s="16" t="n">
        <v>2715</v>
      </c>
      <c r="L205" s="17" t="n">
        <v>453.4</v>
      </c>
    </row>
    <row r="206" customFormat="false" ht="15" hidden="false" customHeight="false" outlineLevel="0" collapsed="false">
      <c r="A206" s="4" t="n">
        <v>203</v>
      </c>
      <c r="B206" s="5" t="n">
        <v>46195</v>
      </c>
      <c r="C206" s="6" t="s">
        <v>14</v>
      </c>
      <c r="D206" s="6" t="s">
        <v>59</v>
      </c>
      <c r="E206" s="6" t="s">
        <v>61</v>
      </c>
      <c r="F206" s="7" t="s">
        <v>22</v>
      </c>
      <c r="G206" s="6" t="s">
        <v>18</v>
      </c>
      <c r="H206" s="4" t="s">
        <v>19</v>
      </c>
      <c r="I206" s="8" t="n">
        <v>3920</v>
      </c>
      <c r="J206" s="8" t="n">
        <v>4740</v>
      </c>
      <c r="K206" s="9" t="n">
        <v>4285</v>
      </c>
      <c r="L206" s="10" t="n">
        <v>70.5</v>
      </c>
    </row>
    <row r="207" customFormat="false" ht="15" hidden="false" customHeight="false" outlineLevel="0" collapsed="false">
      <c r="A207" s="11" t="n">
        <v>204</v>
      </c>
      <c r="B207" s="12" t="n">
        <v>46195</v>
      </c>
      <c r="C207" s="13" t="s">
        <v>14</v>
      </c>
      <c r="D207" s="13" t="s">
        <v>59</v>
      </c>
      <c r="E207" s="13" t="s">
        <v>61</v>
      </c>
      <c r="F207" s="14" t="s">
        <v>23</v>
      </c>
      <c r="G207" s="13" t="s">
        <v>18</v>
      </c>
      <c r="H207" s="11" t="s">
        <v>19</v>
      </c>
      <c r="I207" s="15" t="n">
        <v>2321</v>
      </c>
      <c r="J207" s="15" t="n">
        <v>2572</v>
      </c>
      <c r="K207" s="16" t="n">
        <v>2510</v>
      </c>
      <c r="L207" s="17" t="n">
        <v>43.8</v>
      </c>
    </row>
    <row r="208" customFormat="false" ht="15" hidden="false" customHeight="false" outlineLevel="0" collapsed="false">
      <c r="A208" s="4" t="n">
        <v>205</v>
      </c>
      <c r="B208" s="5" t="n">
        <v>46195</v>
      </c>
      <c r="C208" s="6" t="s">
        <v>14</v>
      </c>
      <c r="D208" s="6" t="s">
        <v>59</v>
      </c>
      <c r="E208" s="6" t="s">
        <v>61</v>
      </c>
      <c r="F208" s="7" t="s">
        <v>24</v>
      </c>
      <c r="G208" s="6" t="s">
        <v>25</v>
      </c>
      <c r="H208" s="4" t="s">
        <v>19</v>
      </c>
      <c r="I208" s="8" t="n">
        <v>7154</v>
      </c>
      <c r="J208" s="8" t="n">
        <v>8464</v>
      </c>
      <c r="K208" s="9" t="n">
        <v>7466</v>
      </c>
      <c r="L208" s="10" t="n">
        <v>198.4</v>
      </c>
    </row>
    <row r="209" customFormat="false" ht="15" hidden="false" customHeight="false" outlineLevel="0" collapsed="false">
      <c r="A209" s="11" t="n">
        <v>206</v>
      </c>
      <c r="B209" s="12" t="n">
        <v>46195</v>
      </c>
      <c r="C209" s="13" t="s">
        <v>14</v>
      </c>
      <c r="D209" s="13" t="s">
        <v>59</v>
      </c>
      <c r="E209" s="13" t="s">
        <v>61</v>
      </c>
      <c r="F209" s="14" t="s">
        <v>26</v>
      </c>
      <c r="G209" s="13" t="s">
        <v>25</v>
      </c>
      <c r="H209" s="11" t="s">
        <v>19</v>
      </c>
      <c r="I209" s="15" t="n">
        <v>5255</v>
      </c>
      <c r="J209" s="15" t="n">
        <v>6355</v>
      </c>
      <c r="K209" s="16" t="n">
        <v>5705</v>
      </c>
      <c r="L209" s="17" t="n">
        <v>78.5</v>
      </c>
    </row>
    <row r="210" customFormat="false" ht="15" hidden="false" customHeight="false" outlineLevel="0" collapsed="false">
      <c r="A210" s="4" t="n">
        <v>207</v>
      </c>
      <c r="B210" s="5" t="n">
        <v>46195</v>
      </c>
      <c r="C210" s="6" t="s">
        <v>14</v>
      </c>
      <c r="D210" s="6" t="s">
        <v>59</v>
      </c>
      <c r="E210" s="6" t="s">
        <v>61</v>
      </c>
      <c r="F210" s="7" t="s">
        <v>27</v>
      </c>
      <c r="G210" s="6" t="s">
        <v>25</v>
      </c>
      <c r="H210" s="4" t="s">
        <v>19</v>
      </c>
      <c r="I210" s="8" t="n">
        <v>10259</v>
      </c>
      <c r="J210" s="8" t="n">
        <v>12407</v>
      </c>
      <c r="K210" s="9" t="n">
        <v>11477</v>
      </c>
      <c r="L210" s="10" t="n">
        <v>73.9</v>
      </c>
    </row>
    <row r="211" customFormat="false" ht="15" hidden="false" customHeight="false" outlineLevel="0" collapsed="false">
      <c r="A211" s="11" t="n">
        <v>208</v>
      </c>
      <c r="B211" s="12" t="n">
        <v>46195</v>
      </c>
      <c r="C211" s="13" t="s">
        <v>14</v>
      </c>
      <c r="D211" s="13" t="s">
        <v>59</v>
      </c>
      <c r="E211" s="13" t="s">
        <v>61</v>
      </c>
      <c r="F211" s="14" t="s">
        <v>28</v>
      </c>
      <c r="G211" s="13" t="s">
        <v>25</v>
      </c>
      <c r="H211" s="11" t="s">
        <v>19</v>
      </c>
      <c r="I211" s="15" t="n">
        <v>7436</v>
      </c>
      <c r="J211" s="15" t="n">
        <v>8715</v>
      </c>
      <c r="K211" s="16" t="n">
        <v>7891</v>
      </c>
      <c r="L211" s="17" t="n">
        <v>45</v>
      </c>
    </row>
    <row r="212" customFormat="false" ht="15" hidden="false" customHeight="false" outlineLevel="0" collapsed="false">
      <c r="A212" s="4" t="n">
        <v>209</v>
      </c>
      <c r="B212" s="5" t="n">
        <v>46195</v>
      </c>
      <c r="C212" s="6" t="s">
        <v>14</v>
      </c>
      <c r="D212" s="6" t="s">
        <v>59</v>
      </c>
      <c r="E212" s="6" t="s">
        <v>61</v>
      </c>
      <c r="F212" s="7" t="s">
        <v>29</v>
      </c>
      <c r="G212" s="6" t="s">
        <v>30</v>
      </c>
      <c r="H212" s="4" t="s">
        <v>19</v>
      </c>
      <c r="I212" s="8" t="n">
        <v>6448</v>
      </c>
      <c r="J212" s="8" t="n">
        <v>7202</v>
      </c>
      <c r="K212" s="9" t="n">
        <v>6735</v>
      </c>
      <c r="L212" s="10" t="n">
        <v>195.1</v>
      </c>
    </row>
    <row r="213" customFormat="false" ht="15" hidden="false" customHeight="false" outlineLevel="0" collapsed="false">
      <c r="A213" s="11" t="n">
        <v>210</v>
      </c>
      <c r="B213" s="12" t="n">
        <v>46195</v>
      </c>
      <c r="C213" s="13" t="s">
        <v>14</v>
      </c>
      <c r="D213" s="13" t="s">
        <v>59</v>
      </c>
      <c r="E213" s="13" t="s">
        <v>61</v>
      </c>
      <c r="F213" s="14" t="s">
        <v>31</v>
      </c>
      <c r="G213" s="13" t="s">
        <v>30</v>
      </c>
      <c r="H213" s="11" t="s">
        <v>19</v>
      </c>
      <c r="I213" s="15" t="n">
        <v>6001</v>
      </c>
      <c r="J213" s="15" t="n">
        <v>7172</v>
      </c>
      <c r="K213" s="16" t="n">
        <v>6328</v>
      </c>
      <c r="L213" s="17" t="n">
        <v>48.1</v>
      </c>
    </row>
    <row r="214" customFormat="false" ht="15" hidden="false" customHeight="false" outlineLevel="0" collapsed="false">
      <c r="A214" s="4" t="n">
        <v>211</v>
      </c>
      <c r="B214" s="5" t="n">
        <v>46195</v>
      </c>
      <c r="C214" s="6" t="s">
        <v>14</v>
      </c>
      <c r="D214" s="6" t="s">
        <v>59</v>
      </c>
      <c r="E214" s="6" t="s">
        <v>61</v>
      </c>
      <c r="F214" s="7" t="s">
        <v>32</v>
      </c>
      <c r="G214" s="6" t="s">
        <v>30</v>
      </c>
      <c r="H214" s="4" t="s">
        <v>19</v>
      </c>
      <c r="I214" s="8" t="n">
        <v>4185</v>
      </c>
      <c r="J214" s="8" t="n">
        <v>5091</v>
      </c>
      <c r="K214" s="9" t="n">
        <v>4467</v>
      </c>
      <c r="L214" s="10" t="n">
        <v>280.3</v>
      </c>
    </row>
    <row r="215" customFormat="false" ht="15" hidden="false" customHeight="false" outlineLevel="0" collapsed="false">
      <c r="A215" s="11" t="n">
        <v>212</v>
      </c>
      <c r="B215" s="12" t="n">
        <v>46195</v>
      </c>
      <c r="C215" s="13" t="s">
        <v>14</v>
      </c>
      <c r="D215" s="13" t="s">
        <v>59</v>
      </c>
      <c r="E215" s="13" t="s">
        <v>61</v>
      </c>
      <c r="F215" s="14" t="s">
        <v>33</v>
      </c>
      <c r="G215" s="13" t="s">
        <v>30</v>
      </c>
      <c r="H215" s="11" t="s">
        <v>19</v>
      </c>
      <c r="I215" s="15" t="n">
        <v>6955</v>
      </c>
      <c r="J215" s="15" t="n">
        <v>7816</v>
      </c>
      <c r="K215" s="16" t="n">
        <v>7568</v>
      </c>
      <c r="L215" s="17" t="n">
        <v>121.8</v>
      </c>
    </row>
    <row r="216" customFormat="false" ht="15" hidden="false" customHeight="false" outlineLevel="0" collapsed="false">
      <c r="A216" s="4" t="n">
        <v>213</v>
      </c>
      <c r="B216" s="5" t="n">
        <v>46195</v>
      </c>
      <c r="C216" s="6" t="s">
        <v>14</v>
      </c>
      <c r="D216" s="6" t="s">
        <v>59</v>
      </c>
      <c r="E216" s="6" t="s">
        <v>62</v>
      </c>
      <c r="F216" s="7" t="s">
        <v>17</v>
      </c>
      <c r="G216" s="6" t="s">
        <v>18</v>
      </c>
      <c r="H216" s="4" t="s">
        <v>19</v>
      </c>
      <c r="I216" s="8" t="n">
        <v>2318</v>
      </c>
      <c r="J216" s="8" t="n">
        <v>2797</v>
      </c>
      <c r="K216" s="9" t="n">
        <v>2459</v>
      </c>
      <c r="L216" s="10" t="n">
        <v>235.1</v>
      </c>
    </row>
    <row r="217" customFormat="false" ht="15" hidden="false" customHeight="false" outlineLevel="0" collapsed="false">
      <c r="A217" s="11" t="n">
        <v>214</v>
      </c>
      <c r="B217" s="12" t="n">
        <v>46195</v>
      </c>
      <c r="C217" s="13" t="s">
        <v>14</v>
      </c>
      <c r="D217" s="13" t="s">
        <v>59</v>
      </c>
      <c r="E217" s="13" t="s">
        <v>62</v>
      </c>
      <c r="F217" s="14" t="s">
        <v>20</v>
      </c>
      <c r="G217" s="13" t="s">
        <v>18</v>
      </c>
      <c r="H217" s="11" t="s">
        <v>19</v>
      </c>
      <c r="I217" s="15" t="n">
        <v>2362</v>
      </c>
      <c r="J217" s="15" t="n">
        <v>2785</v>
      </c>
      <c r="K217" s="16" t="n">
        <v>2606</v>
      </c>
      <c r="L217" s="17" t="n">
        <v>56.5</v>
      </c>
    </row>
    <row r="218" customFormat="false" ht="15" hidden="false" customHeight="false" outlineLevel="0" collapsed="false">
      <c r="A218" s="4" t="n">
        <v>215</v>
      </c>
      <c r="B218" s="5" t="n">
        <v>46195</v>
      </c>
      <c r="C218" s="6" t="s">
        <v>14</v>
      </c>
      <c r="D218" s="6" t="s">
        <v>59</v>
      </c>
      <c r="E218" s="6" t="s">
        <v>62</v>
      </c>
      <c r="F218" s="7" t="s">
        <v>21</v>
      </c>
      <c r="G218" s="6" t="s">
        <v>18</v>
      </c>
      <c r="H218" s="4" t="s">
        <v>19</v>
      </c>
      <c r="I218" s="8" t="n">
        <v>2433</v>
      </c>
      <c r="J218" s="8" t="n">
        <v>2934</v>
      </c>
      <c r="K218" s="9" t="n">
        <v>2613</v>
      </c>
      <c r="L218" s="10" t="n">
        <v>230.7</v>
      </c>
    </row>
    <row r="219" customFormat="false" ht="15" hidden="false" customHeight="false" outlineLevel="0" collapsed="false">
      <c r="A219" s="11" t="n">
        <v>216</v>
      </c>
      <c r="B219" s="12" t="n">
        <v>46195</v>
      </c>
      <c r="C219" s="13" t="s">
        <v>14</v>
      </c>
      <c r="D219" s="13" t="s">
        <v>59</v>
      </c>
      <c r="E219" s="13" t="s">
        <v>62</v>
      </c>
      <c r="F219" s="14" t="s">
        <v>22</v>
      </c>
      <c r="G219" s="13" t="s">
        <v>18</v>
      </c>
      <c r="H219" s="11" t="s">
        <v>19</v>
      </c>
      <c r="I219" s="15" t="n">
        <v>3649</v>
      </c>
      <c r="J219" s="15" t="n">
        <v>4190</v>
      </c>
      <c r="K219" s="16" t="n">
        <v>3807</v>
      </c>
      <c r="L219" s="17" t="n">
        <v>36.6</v>
      </c>
    </row>
    <row r="220" customFormat="false" ht="15" hidden="false" customHeight="false" outlineLevel="0" collapsed="false">
      <c r="A220" s="4" t="n">
        <v>217</v>
      </c>
      <c r="B220" s="5" t="n">
        <v>46195</v>
      </c>
      <c r="C220" s="6" t="s">
        <v>14</v>
      </c>
      <c r="D220" s="6" t="s">
        <v>59</v>
      </c>
      <c r="E220" s="6" t="s">
        <v>62</v>
      </c>
      <c r="F220" s="7" t="s">
        <v>23</v>
      </c>
      <c r="G220" s="6" t="s">
        <v>18</v>
      </c>
      <c r="H220" s="4" t="s">
        <v>19</v>
      </c>
      <c r="I220" s="8" t="n">
        <v>2219</v>
      </c>
      <c r="J220" s="8" t="n">
        <v>2684</v>
      </c>
      <c r="K220" s="9" t="n">
        <v>2485</v>
      </c>
      <c r="L220" s="10" t="n">
        <v>31.5</v>
      </c>
    </row>
    <row r="221" customFormat="false" ht="15" hidden="false" customHeight="false" outlineLevel="0" collapsed="false">
      <c r="A221" s="11" t="n">
        <v>218</v>
      </c>
      <c r="B221" s="12" t="n">
        <v>46195</v>
      </c>
      <c r="C221" s="13" t="s">
        <v>14</v>
      </c>
      <c r="D221" s="13" t="s">
        <v>59</v>
      </c>
      <c r="E221" s="13" t="s">
        <v>62</v>
      </c>
      <c r="F221" s="14" t="s">
        <v>24</v>
      </c>
      <c r="G221" s="13" t="s">
        <v>25</v>
      </c>
      <c r="H221" s="11" t="s">
        <v>19</v>
      </c>
      <c r="I221" s="15" t="n">
        <v>6229</v>
      </c>
      <c r="J221" s="15" t="n">
        <v>7953</v>
      </c>
      <c r="K221" s="16" t="n">
        <v>7072</v>
      </c>
      <c r="L221" s="17" t="n">
        <v>309.2</v>
      </c>
    </row>
    <row r="222" customFormat="false" ht="15" hidden="false" customHeight="false" outlineLevel="0" collapsed="false">
      <c r="A222" s="4" t="n">
        <v>219</v>
      </c>
      <c r="B222" s="5" t="n">
        <v>46195</v>
      </c>
      <c r="C222" s="6" t="s">
        <v>14</v>
      </c>
      <c r="D222" s="6" t="s">
        <v>59</v>
      </c>
      <c r="E222" s="6" t="s">
        <v>62</v>
      </c>
      <c r="F222" s="7" t="s">
        <v>26</v>
      </c>
      <c r="G222" s="6" t="s">
        <v>25</v>
      </c>
      <c r="H222" s="4" t="s">
        <v>19</v>
      </c>
      <c r="I222" s="8" t="n">
        <v>5224</v>
      </c>
      <c r="J222" s="8" t="n">
        <v>6294</v>
      </c>
      <c r="K222" s="9" t="n">
        <v>5842</v>
      </c>
      <c r="L222" s="10" t="n">
        <v>72.1</v>
      </c>
    </row>
    <row r="223" customFormat="false" ht="15" hidden="false" customHeight="false" outlineLevel="0" collapsed="false">
      <c r="A223" s="11" t="n">
        <v>220</v>
      </c>
      <c r="B223" s="12" t="n">
        <v>46195</v>
      </c>
      <c r="C223" s="13" t="s">
        <v>14</v>
      </c>
      <c r="D223" s="13" t="s">
        <v>59</v>
      </c>
      <c r="E223" s="13" t="s">
        <v>62</v>
      </c>
      <c r="F223" s="14" t="s">
        <v>27</v>
      </c>
      <c r="G223" s="13" t="s">
        <v>25</v>
      </c>
      <c r="H223" s="11" t="s">
        <v>19</v>
      </c>
      <c r="I223" s="15" t="n">
        <v>10647</v>
      </c>
      <c r="J223" s="15" t="n">
        <v>12211</v>
      </c>
      <c r="K223" s="16" t="n">
        <v>11357</v>
      </c>
      <c r="L223" s="17" t="n">
        <v>34.7</v>
      </c>
    </row>
    <row r="224" customFormat="false" ht="15" hidden="false" customHeight="false" outlineLevel="0" collapsed="false">
      <c r="A224" s="4" t="n">
        <v>221</v>
      </c>
      <c r="B224" s="5" t="n">
        <v>46195</v>
      </c>
      <c r="C224" s="6" t="s">
        <v>14</v>
      </c>
      <c r="D224" s="6" t="s">
        <v>59</v>
      </c>
      <c r="E224" s="6" t="s">
        <v>62</v>
      </c>
      <c r="F224" s="7" t="s">
        <v>28</v>
      </c>
      <c r="G224" s="6" t="s">
        <v>25</v>
      </c>
      <c r="H224" s="4" t="s">
        <v>19</v>
      </c>
      <c r="I224" s="8" t="n">
        <v>7676</v>
      </c>
      <c r="J224" s="8" t="n">
        <v>9146</v>
      </c>
      <c r="K224" s="9" t="n">
        <v>8548</v>
      </c>
      <c r="L224" s="10" t="n">
        <v>31.6</v>
      </c>
    </row>
    <row r="225" customFormat="false" ht="15" hidden="false" customHeight="false" outlineLevel="0" collapsed="false">
      <c r="A225" s="11" t="n">
        <v>222</v>
      </c>
      <c r="B225" s="12" t="n">
        <v>46195</v>
      </c>
      <c r="C225" s="13" t="s">
        <v>14</v>
      </c>
      <c r="D225" s="13" t="s">
        <v>63</v>
      </c>
      <c r="E225" s="13" t="s">
        <v>64</v>
      </c>
      <c r="F225" s="14" t="s">
        <v>17</v>
      </c>
      <c r="G225" s="13" t="s">
        <v>18</v>
      </c>
      <c r="H225" s="11" t="s">
        <v>19</v>
      </c>
      <c r="I225" s="15" t="n">
        <v>2221</v>
      </c>
      <c r="J225" s="15" t="n">
        <v>2576</v>
      </c>
      <c r="K225" s="16" t="n">
        <v>2434</v>
      </c>
      <c r="L225" s="17" t="n">
        <v>591.8</v>
      </c>
    </row>
    <row r="226" customFormat="false" ht="15" hidden="false" customHeight="false" outlineLevel="0" collapsed="false">
      <c r="A226" s="4" t="n">
        <v>223</v>
      </c>
      <c r="B226" s="5" t="n">
        <v>46195</v>
      </c>
      <c r="C226" s="6" t="s">
        <v>14</v>
      </c>
      <c r="D226" s="6" t="s">
        <v>63</v>
      </c>
      <c r="E226" s="6" t="s">
        <v>64</v>
      </c>
      <c r="F226" s="7" t="s">
        <v>20</v>
      </c>
      <c r="G226" s="6" t="s">
        <v>18</v>
      </c>
      <c r="H226" s="4" t="s">
        <v>19</v>
      </c>
      <c r="I226" s="8" t="n">
        <v>2194</v>
      </c>
      <c r="J226" s="8" t="n">
        <v>2462</v>
      </c>
      <c r="K226" s="9" t="n">
        <v>2298</v>
      </c>
      <c r="L226" s="10" t="n">
        <v>41.9</v>
      </c>
    </row>
    <row r="227" customFormat="false" ht="15" hidden="false" customHeight="false" outlineLevel="0" collapsed="false">
      <c r="A227" s="11" t="n">
        <v>224</v>
      </c>
      <c r="B227" s="12" t="n">
        <v>46195</v>
      </c>
      <c r="C227" s="13" t="s">
        <v>14</v>
      </c>
      <c r="D227" s="13" t="s">
        <v>63</v>
      </c>
      <c r="E227" s="13" t="s">
        <v>64</v>
      </c>
      <c r="F227" s="14" t="s">
        <v>21</v>
      </c>
      <c r="G227" s="13" t="s">
        <v>18</v>
      </c>
      <c r="H227" s="11" t="s">
        <v>19</v>
      </c>
      <c r="I227" s="15" t="n">
        <v>2615</v>
      </c>
      <c r="J227" s="15" t="n">
        <v>3155</v>
      </c>
      <c r="K227" s="16" t="n">
        <v>2752</v>
      </c>
      <c r="L227" s="17" t="n">
        <v>538.8</v>
      </c>
    </row>
    <row r="228" customFormat="false" ht="15" hidden="false" customHeight="false" outlineLevel="0" collapsed="false">
      <c r="A228" s="4" t="n">
        <v>225</v>
      </c>
      <c r="B228" s="5" t="n">
        <v>46195</v>
      </c>
      <c r="C228" s="6" t="s">
        <v>14</v>
      </c>
      <c r="D228" s="6" t="s">
        <v>63</v>
      </c>
      <c r="E228" s="6" t="s">
        <v>64</v>
      </c>
      <c r="F228" s="7" t="s">
        <v>22</v>
      </c>
      <c r="G228" s="6" t="s">
        <v>18</v>
      </c>
      <c r="H228" s="4" t="s">
        <v>19</v>
      </c>
      <c r="I228" s="8" t="n">
        <v>4051</v>
      </c>
      <c r="J228" s="8" t="n">
        <v>4825</v>
      </c>
      <c r="K228" s="9" t="n">
        <v>4242</v>
      </c>
      <c r="L228" s="10" t="n">
        <v>67.9</v>
      </c>
    </row>
    <row r="229" customFormat="false" ht="15" hidden="false" customHeight="false" outlineLevel="0" collapsed="false">
      <c r="A229" s="11" t="n">
        <v>226</v>
      </c>
      <c r="B229" s="12" t="n">
        <v>46195</v>
      </c>
      <c r="C229" s="13" t="s">
        <v>14</v>
      </c>
      <c r="D229" s="13" t="s">
        <v>63</v>
      </c>
      <c r="E229" s="13" t="s">
        <v>64</v>
      </c>
      <c r="F229" s="14" t="s">
        <v>23</v>
      </c>
      <c r="G229" s="13" t="s">
        <v>18</v>
      </c>
      <c r="H229" s="11" t="s">
        <v>19</v>
      </c>
      <c r="I229" s="15" t="n">
        <v>2123</v>
      </c>
      <c r="J229" s="15" t="n">
        <v>2338</v>
      </c>
      <c r="K229" s="16" t="n">
        <v>2230</v>
      </c>
      <c r="L229" s="17" t="n">
        <v>28.4</v>
      </c>
    </row>
    <row r="230" customFormat="false" ht="15" hidden="false" customHeight="false" outlineLevel="0" collapsed="false">
      <c r="A230" s="4" t="n">
        <v>227</v>
      </c>
      <c r="B230" s="5" t="n">
        <v>46195</v>
      </c>
      <c r="C230" s="6" t="s">
        <v>14</v>
      </c>
      <c r="D230" s="6" t="s">
        <v>63</v>
      </c>
      <c r="E230" s="6" t="s">
        <v>64</v>
      </c>
      <c r="F230" s="7" t="s">
        <v>24</v>
      </c>
      <c r="G230" s="6" t="s">
        <v>25</v>
      </c>
      <c r="H230" s="4" t="s">
        <v>19</v>
      </c>
      <c r="I230" s="8" t="n">
        <v>6699</v>
      </c>
      <c r="J230" s="8" t="n">
        <v>7912</v>
      </c>
      <c r="K230" s="9" t="n">
        <v>7066</v>
      </c>
      <c r="L230" s="10" t="n">
        <v>256.2</v>
      </c>
    </row>
    <row r="231" customFormat="false" ht="15" hidden="false" customHeight="false" outlineLevel="0" collapsed="false">
      <c r="A231" s="11" t="n">
        <v>228</v>
      </c>
      <c r="B231" s="12" t="n">
        <v>46195</v>
      </c>
      <c r="C231" s="13" t="s">
        <v>14</v>
      </c>
      <c r="D231" s="13" t="s">
        <v>63</v>
      </c>
      <c r="E231" s="13" t="s">
        <v>64</v>
      </c>
      <c r="F231" s="14" t="s">
        <v>26</v>
      </c>
      <c r="G231" s="13" t="s">
        <v>25</v>
      </c>
      <c r="H231" s="11" t="s">
        <v>19</v>
      </c>
      <c r="I231" s="15" t="n">
        <v>4756</v>
      </c>
      <c r="J231" s="15" t="n">
        <v>5894</v>
      </c>
      <c r="K231" s="16" t="n">
        <v>5351</v>
      </c>
      <c r="L231" s="17" t="n">
        <v>41.9</v>
      </c>
    </row>
    <row r="232" customFormat="false" ht="15" hidden="false" customHeight="false" outlineLevel="0" collapsed="false">
      <c r="A232" s="4" t="n">
        <v>229</v>
      </c>
      <c r="B232" s="5" t="n">
        <v>46195</v>
      </c>
      <c r="C232" s="6" t="s">
        <v>14</v>
      </c>
      <c r="D232" s="6" t="s">
        <v>63</v>
      </c>
      <c r="E232" s="6" t="s">
        <v>64</v>
      </c>
      <c r="F232" s="7" t="s">
        <v>27</v>
      </c>
      <c r="G232" s="6" t="s">
        <v>25</v>
      </c>
      <c r="H232" s="4" t="s">
        <v>19</v>
      </c>
      <c r="I232" s="8" t="n">
        <v>10346</v>
      </c>
      <c r="J232" s="8" t="n">
        <v>12507</v>
      </c>
      <c r="K232" s="9" t="n">
        <v>11717</v>
      </c>
      <c r="L232" s="10" t="n">
        <v>28.2</v>
      </c>
    </row>
    <row r="233" customFormat="false" ht="15" hidden="false" customHeight="false" outlineLevel="0" collapsed="false">
      <c r="A233" s="11" t="n">
        <v>230</v>
      </c>
      <c r="B233" s="12" t="n">
        <v>46195</v>
      </c>
      <c r="C233" s="13" t="s">
        <v>14</v>
      </c>
      <c r="D233" s="13" t="s">
        <v>63</v>
      </c>
      <c r="E233" s="13" t="s">
        <v>64</v>
      </c>
      <c r="F233" s="14" t="s">
        <v>28</v>
      </c>
      <c r="G233" s="13" t="s">
        <v>25</v>
      </c>
      <c r="H233" s="11" t="s">
        <v>19</v>
      </c>
      <c r="I233" s="15" t="n">
        <v>7849</v>
      </c>
      <c r="J233" s="15" t="n">
        <v>9270</v>
      </c>
      <c r="K233" s="16" t="n">
        <v>8631</v>
      </c>
      <c r="L233" s="17" t="n">
        <v>21.3</v>
      </c>
    </row>
    <row r="234" customFormat="false" ht="15" hidden="false" customHeight="false" outlineLevel="0" collapsed="false">
      <c r="A234" s="4" t="n">
        <v>231</v>
      </c>
      <c r="B234" s="5" t="n">
        <v>46195</v>
      </c>
      <c r="C234" s="6" t="s">
        <v>14</v>
      </c>
      <c r="D234" s="6" t="s">
        <v>63</v>
      </c>
      <c r="E234" s="6" t="s">
        <v>64</v>
      </c>
      <c r="F234" s="7" t="s">
        <v>29</v>
      </c>
      <c r="G234" s="6" t="s">
        <v>30</v>
      </c>
      <c r="H234" s="4" t="s">
        <v>19</v>
      </c>
      <c r="I234" s="8" t="n">
        <v>6394</v>
      </c>
      <c r="J234" s="8" t="n">
        <v>7118</v>
      </c>
      <c r="K234" s="9" t="n">
        <v>6668</v>
      </c>
      <c r="L234" s="10" t="n">
        <v>246.6</v>
      </c>
    </row>
    <row r="235" customFormat="false" ht="15" hidden="false" customHeight="false" outlineLevel="0" collapsed="false">
      <c r="A235" s="11" t="n">
        <v>232</v>
      </c>
      <c r="B235" s="12" t="n">
        <v>46195</v>
      </c>
      <c r="C235" s="13" t="s">
        <v>14</v>
      </c>
      <c r="D235" s="13" t="s">
        <v>63</v>
      </c>
      <c r="E235" s="13" t="s">
        <v>64</v>
      </c>
      <c r="F235" s="14" t="s">
        <v>31</v>
      </c>
      <c r="G235" s="13" t="s">
        <v>30</v>
      </c>
      <c r="H235" s="11" t="s">
        <v>19</v>
      </c>
      <c r="I235" s="15" t="n">
        <v>5271</v>
      </c>
      <c r="J235" s="15" t="n">
        <v>6709</v>
      </c>
      <c r="K235" s="16" t="n">
        <v>5891</v>
      </c>
      <c r="L235" s="17" t="n">
        <v>152</v>
      </c>
    </row>
    <row r="236" customFormat="false" ht="15" hidden="false" customHeight="false" outlineLevel="0" collapsed="false">
      <c r="A236" s="4" t="n">
        <v>233</v>
      </c>
      <c r="B236" s="5" t="n">
        <v>46195</v>
      </c>
      <c r="C236" s="6" t="s">
        <v>14</v>
      </c>
      <c r="D236" s="6" t="s">
        <v>63</v>
      </c>
      <c r="E236" s="6" t="s">
        <v>65</v>
      </c>
      <c r="F236" s="7" t="s">
        <v>17</v>
      </c>
      <c r="G236" s="6" t="s">
        <v>18</v>
      </c>
      <c r="H236" s="4" t="s">
        <v>19</v>
      </c>
      <c r="I236" s="8" t="n">
        <v>2348</v>
      </c>
      <c r="J236" s="8" t="n">
        <v>2669</v>
      </c>
      <c r="K236" s="9" t="n">
        <v>2579</v>
      </c>
      <c r="L236" s="10" t="n">
        <v>735.7</v>
      </c>
    </row>
    <row r="237" customFormat="false" ht="15" hidden="false" customHeight="false" outlineLevel="0" collapsed="false">
      <c r="A237" s="11" t="n">
        <v>234</v>
      </c>
      <c r="B237" s="12" t="n">
        <v>46195</v>
      </c>
      <c r="C237" s="13" t="s">
        <v>14</v>
      </c>
      <c r="D237" s="13" t="s">
        <v>63</v>
      </c>
      <c r="E237" s="13" t="s">
        <v>65</v>
      </c>
      <c r="F237" s="14" t="s">
        <v>20</v>
      </c>
      <c r="G237" s="13" t="s">
        <v>18</v>
      </c>
      <c r="H237" s="11" t="s">
        <v>19</v>
      </c>
      <c r="I237" s="15" t="n">
        <v>2268</v>
      </c>
      <c r="J237" s="15" t="n">
        <v>2654</v>
      </c>
      <c r="K237" s="16" t="n">
        <v>2345</v>
      </c>
      <c r="L237" s="17" t="n">
        <v>118.2</v>
      </c>
    </row>
    <row r="238" customFormat="false" ht="15" hidden="false" customHeight="false" outlineLevel="0" collapsed="false">
      <c r="A238" s="4" t="n">
        <v>235</v>
      </c>
      <c r="B238" s="5" t="n">
        <v>46195</v>
      </c>
      <c r="C238" s="6" t="s">
        <v>14</v>
      </c>
      <c r="D238" s="6" t="s">
        <v>63</v>
      </c>
      <c r="E238" s="6" t="s">
        <v>65</v>
      </c>
      <c r="F238" s="7" t="s">
        <v>21</v>
      </c>
      <c r="G238" s="6" t="s">
        <v>18</v>
      </c>
      <c r="H238" s="4" t="s">
        <v>19</v>
      </c>
      <c r="I238" s="8" t="n">
        <v>2708</v>
      </c>
      <c r="J238" s="8" t="n">
        <v>3149</v>
      </c>
      <c r="K238" s="9" t="n">
        <v>2800</v>
      </c>
      <c r="L238" s="10" t="n">
        <v>312.2</v>
      </c>
    </row>
    <row r="239" customFormat="false" ht="15" hidden="false" customHeight="false" outlineLevel="0" collapsed="false">
      <c r="A239" s="11" t="n">
        <v>236</v>
      </c>
      <c r="B239" s="12" t="n">
        <v>46195</v>
      </c>
      <c r="C239" s="13" t="s">
        <v>14</v>
      </c>
      <c r="D239" s="13" t="s">
        <v>63</v>
      </c>
      <c r="E239" s="13" t="s">
        <v>65</v>
      </c>
      <c r="F239" s="14" t="s">
        <v>22</v>
      </c>
      <c r="G239" s="13" t="s">
        <v>18</v>
      </c>
      <c r="H239" s="11" t="s">
        <v>19</v>
      </c>
      <c r="I239" s="15" t="n">
        <v>3765</v>
      </c>
      <c r="J239" s="15" t="n">
        <v>4655</v>
      </c>
      <c r="K239" s="16" t="n">
        <v>4272</v>
      </c>
      <c r="L239" s="17" t="n">
        <v>49.1</v>
      </c>
    </row>
    <row r="240" customFormat="false" ht="15" hidden="false" customHeight="false" outlineLevel="0" collapsed="false">
      <c r="A240" s="4" t="n">
        <v>237</v>
      </c>
      <c r="B240" s="5" t="n">
        <v>46195</v>
      </c>
      <c r="C240" s="6" t="s">
        <v>14</v>
      </c>
      <c r="D240" s="6" t="s">
        <v>63</v>
      </c>
      <c r="E240" s="6" t="s">
        <v>65</v>
      </c>
      <c r="F240" s="7" t="s">
        <v>23</v>
      </c>
      <c r="G240" s="6" t="s">
        <v>18</v>
      </c>
      <c r="H240" s="4" t="s">
        <v>19</v>
      </c>
      <c r="I240" s="8" t="n">
        <v>2253</v>
      </c>
      <c r="J240" s="8" t="n">
        <v>2625</v>
      </c>
      <c r="K240" s="9" t="n">
        <v>2395</v>
      </c>
      <c r="L240" s="10" t="n">
        <v>59.6</v>
      </c>
    </row>
    <row r="241" customFormat="false" ht="15" hidden="false" customHeight="false" outlineLevel="0" collapsed="false">
      <c r="A241" s="11" t="n">
        <v>238</v>
      </c>
      <c r="B241" s="12" t="n">
        <v>46195</v>
      </c>
      <c r="C241" s="13" t="s">
        <v>14</v>
      </c>
      <c r="D241" s="13" t="s">
        <v>63</v>
      </c>
      <c r="E241" s="13" t="s">
        <v>65</v>
      </c>
      <c r="F241" s="14" t="s">
        <v>24</v>
      </c>
      <c r="G241" s="13" t="s">
        <v>25</v>
      </c>
      <c r="H241" s="11" t="s">
        <v>19</v>
      </c>
      <c r="I241" s="15" t="n">
        <v>7009</v>
      </c>
      <c r="J241" s="15" t="n">
        <v>8275</v>
      </c>
      <c r="K241" s="16" t="n">
        <v>7878</v>
      </c>
      <c r="L241" s="17" t="n">
        <v>98.5</v>
      </c>
    </row>
    <row r="242" customFormat="false" ht="15" hidden="false" customHeight="false" outlineLevel="0" collapsed="false">
      <c r="A242" s="4" t="n">
        <v>239</v>
      </c>
      <c r="B242" s="5" t="n">
        <v>46195</v>
      </c>
      <c r="C242" s="6" t="s">
        <v>14</v>
      </c>
      <c r="D242" s="6" t="s">
        <v>63</v>
      </c>
      <c r="E242" s="6" t="s">
        <v>65</v>
      </c>
      <c r="F242" s="7" t="s">
        <v>26</v>
      </c>
      <c r="G242" s="6" t="s">
        <v>25</v>
      </c>
      <c r="H242" s="4" t="s">
        <v>19</v>
      </c>
      <c r="I242" s="8" t="n">
        <v>5611</v>
      </c>
      <c r="J242" s="8" t="n">
        <v>6868</v>
      </c>
      <c r="K242" s="9" t="n">
        <v>6030</v>
      </c>
      <c r="L242" s="10" t="n">
        <v>59.9</v>
      </c>
    </row>
    <row r="243" customFormat="false" ht="15" hidden="false" customHeight="false" outlineLevel="0" collapsed="false">
      <c r="A243" s="11" t="n">
        <v>240</v>
      </c>
      <c r="B243" s="12" t="n">
        <v>46195</v>
      </c>
      <c r="C243" s="13" t="s">
        <v>14</v>
      </c>
      <c r="D243" s="13" t="s">
        <v>63</v>
      </c>
      <c r="E243" s="13" t="s">
        <v>65</v>
      </c>
      <c r="F243" s="14" t="s">
        <v>27</v>
      </c>
      <c r="G243" s="13" t="s">
        <v>25</v>
      </c>
      <c r="H243" s="11" t="s">
        <v>19</v>
      </c>
      <c r="I243" s="15" t="n">
        <v>9939</v>
      </c>
      <c r="J243" s="15" t="n">
        <v>11857</v>
      </c>
      <c r="K243" s="16" t="n">
        <v>10417</v>
      </c>
      <c r="L243" s="17" t="n">
        <v>37.5</v>
      </c>
    </row>
    <row r="244" customFormat="false" ht="15" hidden="false" customHeight="false" outlineLevel="0" collapsed="false">
      <c r="A244" s="4" t="n">
        <v>241</v>
      </c>
      <c r="B244" s="5" t="n">
        <v>46195</v>
      </c>
      <c r="C244" s="6" t="s">
        <v>14</v>
      </c>
      <c r="D244" s="6" t="s">
        <v>63</v>
      </c>
      <c r="E244" s="6" t="s">
        <v>65</v>
      </c>
      <c r="F244" s="7" t="s">
        <v>28</v>
      </c>
      <c r="G244" s="6" t="s">
        <v>25</v>
      </c>
      <c r="H244" s="4" t="s">
        <v>19</v>
      </c>
      <c r="I244" s="8" t="n">
        <v>7124</v>
      </c>
      <c r="J244" s="8" t="n">
        <v>9122</v>
      </c>
      <c r="K244" s="9" t="n">
        <v>7981</v>
      </c>
      <c r="L244" s="10" t="n">
        <v>25.1</v>
      </c>
    </row>
    <row r="245" customFormat="false" ht="15" hidden="false" customHeight="false" outlineLevel="0" collapsed="false">
      <c r="A245" s="11" t="n">
        <v>242</v>
      </c>
      <c r="B245" s="12" t="n">
        <v>46195</v>
      </c>
      <c r="C245" s="13" t="s">
        <v>14</v>
      </c>
      <c r="D245" s="13" t="s">
        <v>63</v>
      </c>
      <c r="E245" s="13" t="s">
        <v>65</v>
      </c>
      <c r="F245" s="14" t="s">
        <v>29</v>
      </c>
      <c r="G245" s="13" t="s">
        <v>30</v>
      </c>
      <c r="H245" s="11" t="s">
        <v>19</v>
      </c>
      <c r="I245" s="15" t="n">
        <v>5660</v>
      </c>
      <c r="J245" s="15" t="n">
        <v>7230</v>
      </c>
      <c r="K245" s="16" t="n">
        <v>6368</v>
      </c>
      <c r="L245" s="17" t="n">
        <v>144.7</v>
      </c>
    </row>
    <row r="246" customFormat="false" ht="15" hidden="false" customHeight="false" outlineLevel="0" collapsed="false">
      <c r="A246" s="4" t="n">
        <v>243</v>
      </c>
      <c r="B246" s="5" t="n">
        <v>46195</v>
      </c>
      <c r="C246" s="6" t="s">
        <v>14</v>
      </c>
      <c r="D246" s="6" t="s">
        <v>63</v>
      </c>
      <c r="E246" s="6" t="s">
        <v>65</v>
      </c>
      <c r="F246" s="7" t="s">
        <v>31</v>
      </c>
      <c r="G246" s="6" t="s">
        <v>30</v>
      </c>
      <c r="H246" s="4" t="s">
        <v>19</v>
      </c>
      <c r="I246" s="8" t="n">
        <v>5707</v>
      </c>
      <c r="J246" s="8" t="n">
        <v>6777</v>
      </c>
      <c r="K246" s="9" t="n">
        <v>6069</v>
      </c>
      <c r="L246" s="10" t="n">
        <v>152.2</v>
      </c>
    </row>
    <row r="247" customFormat="false" ht="15" hidden="false" customHeight="false" outlineLevel="0" collapsed="false">
      <c r="A247" s="11" t="n">
        <v>244</v>
      </c>
      <c r="B247" s="12" t="n">
        <v>46195</v>
      </c>
      <c r="C247" s="13" t="s">
        <v>14</v>
      </c>
      <c r="D247" s="13" t="s">
        <v>63</v>
      </c>
      <c r="E247" s="13" t="s">
        <v>65</v>
      </c>
      <c r="F247" s="14" t="s">
        <v>32</v>
      </c>
      <c r="G247" s="13" t="s">
        <v>30</v>
      </c>
      <c r="H247" s="11" t="s">
        <v>19</v>
      </c>
      <c r="I247" s="15" t="n">
        <v>4484</v>
      </c>
      <c r="J247" s="15" t="n">
        <v>4926</v>
      </c>
      <c r="K247" s="16" t="n">
        <v>4736</v>
      </c>
      <c r="L247" s="17" t="n">
        <v>162.1</v>
      </c>
    </row>
    <row r="248" customFormat="false" ht="15" hidden="false" customHeight="false" outlineLevel="0" collapsed="false">
      <c r="A248" s="4" t="n">
        <v>245</v>
      </c>
      <c r="B248" s="5" t="n">
        <v>46195</v>
      </c>
      <c r="C248" s="6" t="s">
        <v>14</v>
      </c>
      <c r="D248" s="6" t="s">
        <v>66</v>
      </c>
      <c r="E248" s="6" t="s">
        <v>67</v>
      </c>
      <c r="F248" s="7" t="s">
        <v>17</v>
      </c>
      <c r="G248" s="6" t="s">
        <v>18</v>
      </c>
      <c r="H248" s="4" t="s">
        <v>19</v>
      </c>
      <c r="I248" s="8" t="n">
        <v>2444</v>
      </c>
      <c r="J248" s="8" t="n">
        <v>2984</v>
      </c>
      <c r="K248" s="9" t="n">
        <v>2613</v>
      </c>
      <c r="L248" s="10" t="n">
        <v>362.7</v>
      </c>
    </row>
    <row r="249" customFormat="false" ht="15" hidden="false" customHeight="false" outlineLevel="0" collapsed="false">
      <c r="A249" s="11" t="n">
        <v>246</v>
      </c>
      <c r="B249" s="12" t="n">
        <v>46195</v>
      </c>
      <c r="C249" s="13" t="s">
        <v>14</v>
      </c>
      <c r="D249" s="13" t="s">
        <v>66</v>
      </c>
      <c r="E249" s="13" t="s">
        <v>67</v>
      </c>
      <c r="F249" s="14" t="s">
        <v>20</v>
      </c>
      <c r="G249" s="13" t="s">
        <v>18</v>
      </c>
      <c r="H249" s="11" t="s">
        <v>19</v>
      </c>
      <c r="I249" s="15" t="n">
        <v>2306</v>
      </c>
      <c r="J249" s="15" t="n">
        <v>2764</v>
      </c>
      <c r="K249" s="16" t="n">
        <v>2564</v>
      </c>
      <c r="L249" s="17" t="n">
        <v>66.2</v>
      </c>
    </row>
    <row r="250" customFormat="false" ht="15" hidden="false" customHeight="false" outlineLevel="0" collapsed="false">
      <c r="A250" s="4" t="n">
        <v>247</v>
      </c>
      <c r="B250" s="5" t="n">
        <v>46195</v>
      </c>
      <c r="C250" s="6" t="s">
        <v>14</v>
      </c>
      <c r="D250" s="6" t="s">
        <v>66</v>
      </c>
      <c r="E250" s="6" t="s">
        <v>67</v>
      </c>
      <c r="F250" s="7" t="s">
        <v>21</v>
      </c>
      <c r="G250" s="6" t="s">
        <v>18</v>
      </c>
      <c r="H250" s="4" t="s">
        <v>19</v>
      </c>
      <c r="I250" s="8" t="n">
        <v>2462</v>
      </c>
      <c r="J250" s="8" t="n">
        <v>2715</v>
      </c>
      <c r="K250" s="9" t="n">
        <v>2543</v>
      </c>
      <c r="L250" s="10" t="n">
        <v>535.1</v>
      </c>
    </row>
    <row r="251" customFormat="false" ht="15" hidden="false" customHeight="false" outlineLevel="0" collapsed="false">
      <c r="A251" s="11" t="n">
        <v>248</v>
      </c>
      <c r="B251" s="12" t="n">
        <v>46195</v>
      </c>
      <c r="C251" s="13" t="s">
        <v>14</v>
      </c>
      <c r="D251" s="13" t="s">
        <v>66</v>
      </c>
      <c r="E251" s="13" t="s">
        <v>67</v>
      </c>
      <c r="F251" s="14" t="s">
        <v>22</v>
      </c>
      <c r="G251" s="13" t="s">
        <v>18</v>
      </c>
      <c r="H251" s="11" t="s">
        <v>19</v>
      </c>
      <c r="I251" s="15" t="n">
        <v>3699</v>
      </c>
      <c r="J251" s="15" t="n">
        <v>4410</v>
      </c>
      <c r="K251" s="16" t="n">
        <v>4177</v>
      </c>
      <c r="L251" s="17" t="n">
        <v>79.1</v>
      </c>
    </row>
    <row r="252" customFormat="false" ht="15" hidden="false" customHeight="false" outlineLevel="0" collapsed="false">
      <c r="A252" s="4" t="n">
        <v>249</v>
      </c>
      <c r="B252" s="5" t="n">
        <v>46195</v>
      </c>
      <c r="C252" s="6" t="s">
        <v>14</v>
      </c>
      <c r="D252" s="6" t="s">
        <v>66</v>
      </c>
      <c r="E252" s="6" t="s">
        <v>67</v>
      </c>
      <c r="F252" s="7" t="s">
        <v>23</v>
      </c>
      <c r="G252" s="6" t="s">
        <v>18</v>
      </c>
      <c r="H252" s="4" t="s">
        <v>19</v>
      </c>
      <c r="I252" s="8" t="n">
        <v>2384</v>
      </c>
      <c r="J252" s="8" t="n">
        <v>2578</v>
      </c>
      <c r="K252" s="9" t="n">
        <v>2498</v>
      </c>
      <c r="L252" s="10" t="n">
        <v>29.5</v>
      </c>
    </row>
    <row r="253" customFormat="false" ht="15" hidden="false" customHeight="false" outlineLevel="0" collapsed="false">
      <c r="A253" s="11" t="n">
        <v>250</v>
      </c>
      <c r="B253" s="12" t="n">
        <v>46195</v>
      </c>
      <c r="C253" s="13" t="s">
        <v>14</v>
      </c>
      <c r="D253" s="13" t="s">
        <v>66</v>
      </c>
      <c r="E253" s="13" t="s">
        <v>67</v>
      </c>
      <c r="F253" s="14" t="s">
        <v>24</v>
      </c>
      <c r="G253" s="13" t="s">
        <v>25</v>
      </c>
      <c r="H253" s="11" t="s">
        <v>19</v>
      </c>
      <c r="I253" s="15" t="n">
        <v>7279</v>
      </c>
      <c r="J253" s="15" t="n">
        <v>7724</v>
      </c>
      <c r="K253" s="16" t="n">
        <v>7524</v>
      </c>
      <c r="L253" s="17" t="n">
        <v>172.7</v>
      </c>
    </row>
    <row r="254" customFormat="false" ht="15" hidden="false" customHeight="false" outlineLevel="0" collapsed="false">
      <c r="A254" s="4" t="n">
        <v>251</v>
      </c>
      <c r="B254" s="5" t="n">
        <v>46195</v>
      </c>
      <c r="C254" s="6" t="s">
        <v>14</v>
      </c>
      <c r="D254" s="6" t="s">
        <v>66</v>
      </c>
      <c r="E254" s="6" t="s">
        <v>67</v>
      </c>
      <c r="F254" s="7" t="s">
        <v>26</v>
      </c>
      <c r="G254" s="6" t="s">
        <v>25</v>
      </c>
      <c r="H254" s="4" t="s">
        <v>19</v>
      </c>
      <c r="I254" s="8" t="n">
        <v>5824</v>
      </c>
      <c r="J254" s="8" t="n">
        <v>6411</v>
      </c>
      <c r="K254" s="9" t="n">
        <v>6125</v>
      </c>
      <c r="L254" s="10" t="n">
        <v>120</v>
      </c>
    </row>
    <row r="255" customFormat="false" ht="15" hidden="false" customHeight="false" outlineLevel="0" collapsed="false">
      <c r="A255" s="11" t="n">
        <v>252</v>
      </c>
      <c r="B255" s="12" t="n">
        <v>46195</v>
      </c>
      <c r="C255" s="13" t="s">
        <v>14</v>
      </c>
      <c r="D255" s="13" t="s">
        <v>66</v>
      </c>
      <c r="E255" s="13" t="s">
        <v>67</v>
      </c>
      <c r="F255" s="14" t="s">
        <v>27</v>
      </c>
      <c r="G255" s="13" t="s">
        <v>25</v>
      </c>
      <c r="H255" s="11" t="s">
        <v>19</v>
      </c>
      <c r="I255" s="15" t="n">
        <v>10538</v>
      </c>
      <c r="J255" s="15" t="n">
        <v>12717</v>
      </c>
      <c r="K255" s="16" t="n">
        <v>11297</v>
      </c>
      <c r="L255" s="17" t="n">
        <v>33.7</v>
      </c>
    </row>
    <row r="256" customFormat="false" ht="15" hidden="false" customHeight="false" outlineLevel="0" collapsed="false">
      <c r="A256" s="4" t="n">
        <v>253</v>
      </c>
      <c r="B256" s="5" t="n">
        <v>46195</v>
      </c>
      <c r="C256" s="6" t="s">
        <v>14</v>
      </c>
      <c r="D256" s="6" t="s">
        <v>66</v>
      </c>
      <c r="E256" s="6" t="s">
        <v>67</v>
      </c>
      <c r="F256" s="7" t="s">
        <v>28</v>
      </c>
      <c r="G256" s="6" t="s">
        <v>25</v>
      </c>
      <c r="H256" s="4" t="s">
        <v>19</v>
      </c>
      <c r="I256" s="8" t="n">
        <v>8041</v>
      </c>
      <c r="J256" s="8" t="n">
        <v>9280</v>
      </c>
      <c r="K256" s="9" t="n">
        <v>8456</v>
      </c>
      <c r="L256" s="10" t="n">
        <v>24.1</v>
      </c>
    </row>
    <row r="257" customFormat="false" ht="15" hidden="false" customHeight="false" outlineLevel="0" collapsed="false">
      <c r="A257" s="11" t="n">
        <v>254</v>
      </c>
      <c r="B257" s="12" t="n">
        <v>46195</v>
      </c>
      <c r="C257" s="13" t="s">
        <v>14</v>
      </c>
      <c r="D257" s="13" t="s">
        <v>66</v>
      </c>
      <c r="E257" s="13" t="s">
        <v>68</v>
      </c>
      <c r="F257" s="14" t="s">
        <v>17</v>
      </c>
      <c r="G257" s="13" t="s">
        <v>18</v>
      </c>
      <c r="H257" s="11" t="s">
        <v>19</v>
      </c>
      <c r="I257" s="15" t="n">
        <v>2484</v>
      </c>
      <c r="J257" s="15" t="n">
        <v>3006</v>
      </c>
      <c r="K257" s="16" t="n">
        <v>2675</v>
      </c>
      <c r="L257" s="17" t="n">
        <v>270</v>
      </c>
    </row>
    <row r="258" customFormat="false" ht="15" hidden="false" customHeight="false" outlineLevel="0" collapsed="false">
      <c r="A258" s="4" t="n">
        <v>255</v>
      </c>
      <c r="B258" s="5" t="n">
        <v>46195</v>
      </c>
      <c r="C258" s="6" t="s">
        <v>14</v>
      </c>
      <c r="D258" s="6" t="s">
        <v>66</v>
      </c>
      <c r="E258" s="6" t="s">
        <v>68</v>
      </c>
      <c r="F258" s="7" t="s">
        <v>20</v>
      </c>
      <c r="G258" s="6" t="s">
        <v>18</v>
      </c>
      <c r="H258" s="4" t="s">
        <v>19</v>
      </c>
      <c r="I258" s="8" t="n">
        <v>2349</v>
      </c>
      <c r="J258" s="8" t="n">
        <v>2809</v>
      </c>
      <c r="K258" s="9" t="n">
        <v>2634</v>
      </c>
      <c r="L258" s="10" t="n">
        <v>125</v>
      </c>
    </row>
    <row r="259" customFormat="false" ht="15" hidden="false" customHeight="false" outlineLevel="0" collapsed="false">
      <c r="A259" s="11" t="n">
        <v>256</v>
      </c>
      <c r="B259" s="12" t="n">
        <v>46195</v>
      </c>
      <c r="C259" s="13" t="s">
        <v>14</v>
      </c>
      <c r="D259" s="13" t="s">
        <v>66</v>
      </c>
      <c r="E259" s="13" t="s">
        <v>68</v>
      </c>
      <c r="F259" s="14" t="s">
        <v>21</v>
      </c>
      <c r="G259" s="13" t="s">
        <v>18</v>
      </c>
      <c r="H259" s="11" t="s">
        <v>19</v>
      </c>
      <c r="I259" s="15" t="n">
        <v>2324</v>
      </c>
      <c r="J259" s="15" t="n">
        <v>2781</v>
      </c>
      <c r="K259" s="16" t="n">
        <v>2637</v>
      </c>
      <c r="L259" s="17" t="n">
        <v>212.7</v>
      </c>
    </row>
    <row r="260" customFormat="false" ht="15" hidden="false" customHeight="false" outlineLevel="0" collapsed="false">
      <c r="A260" s="4" t="n">
        <v>257</v>
      </c>
      <c r="B260" s="5" t="n">
        <v>46195</v>
      </c>
      <c r="C260" s="6" t="s">
        <v>14</v>
      </c>
      <c r="D260" s="6" t="s">
        <v>66</v>
      </c>
      <c r="E260" s="6" t="s">
        <v>68</v>
      </c>
      <c r="F260" s="7" t="s">
        <v>22</v>
      </c>
      <c r="G260" s="6" t="s">
        <v>18</v>
      </c>
      <c r="H260" s="4" t="s">
        <v>19</v>
      </c>
      <c r="I260" s="8" t="n">
        <v>3588</v>
      </c>
      <c r="J260" s="8" t="n">
        <v>4144</v>
      </c>
      <c r="K260" s="9" t="n">
        <v>4030</v>
      </c>
      <c r="L260" s="10" t="n">
        <v>48.7</v>
      </c>
    </row>
    <row r="261" customFormat="false" ht="15" hidden="false" customHeight="false" outlineLevel="0" collapsed="false">
      <c r="A261" s="11" t="n">
        <v>258</v>
      </c>
      <c r="B261" s="12" t="n">
        <v>46195</v>
      </c>
      <c r="C261" s="13" t="s">
        <v>14</v>
      </c>
      <c r="D261" s="13" t="s">
        <v>66</v>
      </c>
      <c r="E261" s="13" t="s">
        <v>68</v>
      </c>
      <c r="F261" s="14" t="s">
        <v>23</v>
      </c>
      <c r="G261" s="13" t="s">
        <v>18</v>
      </c>
      <c r="H261" s="11" t="s">
        <v>19</v>
      </c>
      <c r="I261" s="15" t="n">
        <v>2128</v>
      </c>
      <c r="J261" s="15" t="n">
        <v>2460</v>
      </c>
      <c r="K261" s="16" t="n">
        <v>2280</v>
      </c>
      <c r="L261" s="17" t="n">
        <v>29.9</v>
      </c>
    </row>
    <row r="262" customFormat="false" ht="15" hidden="false" customHeight="false" outlineLevel="0" collapsed="false">
      <c r="A262" s="4" t="n">
        <v>259</v>
      </c>
      <c r="B262" s="5" t="n">
        <v>46195</v>
      </c>
      <c r="C262" s="6" t="s">
        <v>14</v>
      </c>
      <c r="D262" s="6" t="s">
        <v>66</v>
      </c>
      <c r="E262" s="6" t="s">
        <v>68</v>
      </c>
      <c r="F262" s="7" t="s">
        <v>24</v>
      </c>
      <c r="G262" s="6" t="s">
        <v>25</v>
      </c>
      <c r="H262" s="4" t="s">
        <v>19</v>
      </c>
      <c r="I262" s="8" t="n">
        <v>7087</v>
      </c>
      <c r="J262" s="8" t="n">
        <v>8531</v>
      </c>
      <c r="K262" s="9" t="n">
        <v>7496</v>
      </c>
      <c r="L262" s="10" t="n">
        <v>251</v>
      </c>
    </row>
    <row r="263" customFormat="false" ht="15" hidden="false" customHeight="false" outlineLevel="0" collapsed="false">
      <c r="A263" s="11" t="n">
        <v>260</v>
      </c>
      <c r="B263" s="12" t="n">
        <v>46195</v>
      </c>
      <c r="C263" s="13" t="s">
        <v>14</v>
      </c>
      <c r="D263" s="13" t="s">
        <v>66</v>
      </c>
      <c r="E263" s="13" t="s">
        <v>68</v>
      </c>
      <c r="F263" s="14" t="s">
        <v>26</v>
      </c>
      <c r="G263" s="13" t="s">
        <v>25</v>
      </c>
      <c r="H263" s="11" t="s">
        <v>19</v>
      </c>
      <c r="I263" s="15" t="n">
        <v>5159</v>
      </c>
      <c r="J263" s="15" t="n">
        <v>5633</v>
      </c>
      <c r="K263" s="16" t="n">
        <v>5501</v>
      </c>
      <c r="L263" s="17" t="n">
        <v>136.7</v>
      </c>
    </row>
    <row r="264" customFormat="false" ht="15" hidden="false" customHeight="false" outlineLevel="0" collapsed="false">
      <c r="A264" s="4" t="n">
        <v>261</v>
      </c>
      <c r="B264" s="5" t="n">
        <v>46195</v>
      </c>
      <c r="C264" s="6" t="s">
        <v>14</v>
      </c>
      <c r="D264" s="6" t="s">
        <v>66</v>
      </c>
      <c r="E264" s="6" t="s">
        <v>68</v>
      </c>
      <c r="F264" s="7" t="s">
        <v>27</v>
      </c>
      <c r="G264" s="6" t="s">
        <v>25</v>
      </c>
      <c r="H264" s="4" t="s">
        <v>19</v>
      </c>
      <c r="I264" s="8" t="n">
        <v>10857</v>
      </c>
      <c r="J264" s="8" t="n">
        <v>12224</v>
      </c>
      <c r="K264" s="9" t="n">
        <v>11822</v>
      </c>
      <c r="L264" s="10" t="n">
        <v>59.9</v>
      </c>
    </row>
    <row r="265" customFormat="false" ht="15" hidden="false" customHeight="false" outlineLevel="0" collapsed="false">
      <c r="A265" s="11" t="n">
        <v>262</v>
      </c>
      <c r="B265" s="12" t="n">
        <v>46195</v>
      </c>
      <c r="C265" s="13" t="s">
        <v>14</v>
      </c>
      <c r="D265" s="13" t="s">
        <v>66</v>
      </c>
      <c r="E265" s="13" t="s">
        <v>68</v>
      </c>
      <c r="F265" s="14" t="s">
        <v>28</v>
      </c>
      <c r="G265" s="13" t="s">
        <v>25</v>
      </c>
      <c r="H265" s="11" t="s">
        <v>19</v>
      </c>
      <c r="I265" s="15" t="n">
        <v>7713</v>
      </c>
      <c r="J265" s="15" t="n">
        <v>8524</v>
      </c>
      <c r="K265" s="16" t="n">
        <v>8027</v>
      </c>
      <c r="L265" s="17" t="n">
        <v>19.4</v>
      </c>
    </row>
    <row r="266" customFormat="false" ht="15" hidden="false" customHeight="false" outlineLevel="0" collapsed="false">
      <c r="A266" s="4" t="n">
        <v>263</v>
      </c>
      <c r="B266" s="5" t="n">
        <v>46195</v>
      </c>
      <c r="C266" s="6" t="s">
        <v>14</v>
      </c>
      <c r="D266" s="6" t="s">
        <v>66</v>
      </c>
      <c r="E266" s="6" t="s">
        <v>68</v>
      </c>
      <c r="F266" s="7" t="s">
        <v>29</v>
      </c>
      <c r="G266" s="6" t="s">
        <v>30</v>
      </c>
      <c r="H266" s="4" t="s">
        <v>19</v>
      </c>
      <c r="I266" s="8" t="n">
        <v>5612</v>
      </c>
      <c r="J266" s="8" t="n">
        <v>6571</v>
      </c>
      <c r="K266" s="9" t="n">
        <v>5995</v>
      </c>
      <c r="L266" s="10" t="n">
        <v>305.1</v>
      </c>
    </row>
    <row r="267" customFormat="false" ht="15" hidden="false" customHeight="false" outlineLevel="0" collapsed="false">
      <c r="A267" s="11" t="n">
        <v>264</v>
      </c>
      <c r="B267" s="12" t="n">
        <v>46195</v>
      </c>
      <c r="C267" s="13" t="s">
        <v>14</v>
      </c>
      <c r="D267" s="13" t="s">
        <v>69</v>
      </c>
      <c r="E267" s="13" t="s">
        <v>70</v>
      </c>
      <c r="F267" s="14" t="s">
        <v>17</v>
      </c>
      <c r="G267" s="13" t="s">
        <v>18</v>
      </c>
      <c r="H267" s="11" t="s">
        <v>19</v>
      </c>
      <c r="I267" s="15" t="n">
        <v>2484</v>
      </c>
      <c r="J267" s="15" t="n">
        <v>2888</v>
      </c>
      <c r="K267" s="16" t="n">
        <v>2677</v>
      </c>
      <c r="L267" s="17" t="n">
        <v>540.6</v>
      </c>
    </row>
    <row r="268" customFormat="false" ht="15" hidden="false" customHeight="false" outlineLevel="0" collapsed="false">
      <c r="A268" s="4" t="n">
        <v>265</v>
      </c>
      <c r="B268" s="5" t="n">
        <v>46195</v>
      </c>
      <c r="C268" s="6" t="s">
        <v>14</v>
      </c>
      <c r="D268" s="6" t="s">
        <v>69</v>
      </c>
      <c r="E268" s="6" t="s">
        <v>70</v>
      </c>
      <c r="F268" s="7" t="s">
        <v>20</v>
      </c>
      <c r="G268" s="6" t="s">
        <v>18</v>
      </c>
      <c r="H268" s="4" t="s">
        <v>19</v>
      </c>
      <c r="I268" s="8" t="n">
        <v>2196</v>
      </c>
      <c r="J268" s="8" t="n">
        <v>2633</v>
      </c>
      <c r="K268" s="9" t="n">
        <v>2328</v>
      </c>
      <c r="L268" s="10" t="n">
        <v>110.4</v>
      </c>
    </row>
    <row r="269" customFormat="false" ht="15" hidden="false" customHeight="false" outlineLevel="0" collapsed="false">
      <c r="A269" s="11" t="n">
        <v>266</v>
      </c>
      <c r="B269" s="12" t="n">
        <v>46195</v>
      </c>
      <c r="C269" s="13" t="s">
        <v>14</v>
      </c>
      <c r="D269" s="13" t="s">
        <v>69</v>
      </c>
      <c r="E269" s="13" t="s">
        <v>70</v>
      </c>
      <c r="F269" s="14" t="s">
        <v>21</v>
      </c>
      <c r="G269" s="13" t="s">
        <v>18</v>
      </c>
      <c r="H269" s="11" t="s">
        <v>19</v>
      </c>
      <c r="I269" s="15" t="n">
        <v>2563</v>
      </c>
      <c r="J269" s="15" t="n">
        <v>2842</v>
      </c>
      <c r="K269" s="16" t="n">
        <v>2712</v>
      </c>
      <c r="L269" s="17" t="n">
        <v>347.8</v>
      </c>
    </row>
    <row r="270" customFormat="false" ht="15" hidden="false" customHeight="false" outlineLevel="0" collapsed="false">
      <c r="A270" s="4" t="n">
        <v>267</v>
      </c>
      <c r="B270" s="5" t="n">
        <v>46195</v>
      </c>
      <c r="C270" s="6" t="s">
        <v>14</v>
      </c>
      <c r="D270" s="6" t="s">
        <v>69</v>
      </c>
      <c r="E270" s="6" t="s">
        <v>70</v>
      </c>
      <c r="F270" s="7" t="s">
        <v>22</v>
      </c>
      <c r="G270" s="6" t="s">
        <v>18</v>
      </c>
      <c r="H270" s="4" t="s">
        <v>19</v>
      </c>
      <c r="I270" s="8" t="n">
        <v>3556</v>
      </c>
      <c r="J270" s="8" t="n">
        <v>4213</v>
      </c>
      <c r="K270" s="9" t="n">
        <v>3905</v>
      </c>
      <c r="L270" s="10" t="n">
        <v>46.8</v>
      </c>
    </row>
    <row r="271" customFormat="false" ht="15" hidden="false" customHeight="false" outlineLevel="0" collapsed="false">
      <c r="A271" s="11" t="n">
        <v>268</v>
      </c>
      <c r="B271" s="12" t="n">
        <v>46195</v>
      </c>
      <c r="C271" s="13" t="s">
        <v>14</v>
      </c>
      <c r="D271" s="13" t="s">
        <v>69</v>
      </c>
      <c r="E271" s="13" t="s">
        <v>70</v>
      </c>
      <c r="F271" s="14" t="s">
        <v>23</v>
      </c>
      <c r="G271" s="13" t="s">
        <v>18</v>
      </c>
      <c r="H271" s="11" t="s">
        <v>19</v>
      </c>
      <c r="I271" s="15" t="n">
        <v>2002</v>
      </c>
      <c r="J271" s="15" t="n">
        <v>2412</v>
      </c>
      <c r="K271" s="16" t="n">
        <v>2180</v>
      </c>
      <c r="L271" s="17" t="n">
        <v>37.5</v>
      </c>
    </row>
    <row r="272" customFormat="false" ht="15" hidden="false" customHeight="false" outlineLevel="0" collapsed="false">
      <c r="A272" s="4" t="n">
        <v>269</v>
      </c>
      <c r="B272" s="5" t="n">
        <v>46195</v>
      </c>
      <c r="C272" s="6" t="s">
        <v>14</v>
      </c>
      <c r="D272" s="6" t="s">
        <v>69</v>
      </c>
      <c r="E272" s="6" t="s">
        <v>70</v>
      </c>
      <c r="F272" s="7" t="s">
        <v>24</v>
      </c>
      <c r="G272" s="6" t="s">
        <v>25</v>
      </c>
      <c r="H272" s="4" t="s">
        <v>19</v>
      </c>
      <c r="I272" s="8" t="n">
        <v>6694</v>
      </c>
      <c r="J272" s="8" t="n">
        <v>7151</v>
      </c>
      <c r="K272" s="9" t="n">
        <v>6951</v>
      </c>
      <c r="L272" s="10" t="n">
        <v>292.5</v>
      </c>
    </row>
    <row r="273" customFormat="false" ht="15" hidden="false" customHeight="false" outlineLevel="0" collapsed="false">
      <c r="A273" s="11" t="n">
        <v>270</v>
      </c>
      <c r="B273" s="12" t="n">
        <v>46195</v>
      </c>
      <c r="C273" s="13" t="s">
        <v>14</v>
      </c>
      <c r="D273" s="13" t="s">
        <v>69</v>
      </c>
      <c r="E273" s="13" t="s">
        <v>70</v>
      </c>
      <c r="F273" s="14" t="s">
        <v>26</v>
      </c>
      <c r="G273" s="13" t="s">
        <v>25</v>
      </c>
      <c r="H273" s="11" t="s">
        <v>19</v>
      </c>
      <c r="I273" s="15" t="n">
        <v>4720</v>
      </c>
      <c r="J273" s="15" t="n">
        <v>5927</v>
      </c>
      <c r="K273" s="16" t="n">
        <v>5311</v>
      </c>
      <c r="L273" s="17" t="n">
        <v>118.2</v>
      </c>
    </row>
    <row r="274" customFormat="false" ht="15" hidden="false" customHeight="false" outlineLevel="0" collapsed="false">
      <c r="A274" s="4" t="n">
        <v>271</v>
      </c>
      <c r="B274" s="5" t="n">
        <v>46195</v>
      </c>
      <c r="C274" s="6" t="s">
        <v>14</v>
      </c>
      <c r="D274" s="6" t="s">
        <v>69</v>
      </c>
      <c r="E274" s="6" t="s">
        <v>70</v>
      </c>
      <c r="F274" s="7" t="s">
        <v>27</v>
      </c>
      <c r="G274" s="6" t="s">
        <v>25</v>
      </c>
      <c r="H274" s="4" t="s">
        <v>19</v>
      </c>
      <c r="I274" s="8" t="n">
        <v>10541</v>
      </c>
      <c r="J274" s="8" t="n">
        <v>12352</v>
      </c>
      <c r="K274" s="9" t="n">
        <v>11301</v>
      </c>
      <c r="L274" s="10" t="n">
        <v>39</v>
      </c>
    </row>
    <row r="275" customFormat="false" ht="15" hidden="false" customHeight="false" outlineLevel="0" collapsed="false">
      <c r="A275" s="11" t="n">
        <v>272</v>
      </c>
      <c r="B275" s="12" t="n">
        <v>46195</v>
      </c>
      <c r="C275" s="13" t="s">
        <v>14</v>
      </c>
      <c r="D275" s="13" t="s">
        <v>69</v>
      </c>
      <c r="E275" s="13" t="s">
        <v>70</v>
      </c>
      <c r="F275" s="14" t="s">
        <v>28</v>
      </c>
      <c r="G275" s="13" t="s">
        <v>25</v>
      </c>
      <c r="H275" s="11" t="s">
        <v>19</v>
      </c>
      <c r="I275" s="15" t="n">
        <v>6939</v>
      </c>
      <c r="J275" s="15" t="n">
        <v>8420</v>
      </c>
      <c r="K275" s="16" t="n">
        <v>7610</v>
      </c>
      <c r="L275" s="17" t="n">
        <v>41.3</v>
      </c>
    </row>
    <row r="276" customFormat="false" ht="15" hidden="false" customHeight="false" outlineLevel="0" collapsed="false">
      <c r="A276" s="4" t="n">
        <v>273</v>
      </c>
      <c r="B276" s="5" t="n">
        <v>46195</v>
      </c>
      <c r="C276" s="6" t="s">
        <v>14</v>
      </c>
      <c r="D276" s="6" t="s">
        <v>69</v>
      </c>
      <c r="E276" s="6" t="s">
        <v>70</v>
      </c>
      <c r="F276" s="7" t="s">
        <v>29</v>
      </c>
      <c r="G276" s="6" t="s">
        <v>30</v>
      </c>
      <c r="H276" s="4" t="s">
        <v>19</v>
      </c>
      <c r="I276" s="8" t="n">
        <v>6380</v>
      </c>
      <c r="J276" s="8" t="n">
        <v>7737</v>
      </c>
      <c r="K276" s="9" t="n">
        <v>6752</v>
      </c>
      <c r="L276" s="10" t="n">
        <v>274</v>
      </c>
    </row>
    <row r="277" customFormat="false" ht="15" hidden="false" customHeight="false" outlineLevel="0" collapsed="false">
      <c r="A277" s="11" t="n">
        <v>274</v>
      </c>
      <c r="B277" s="12" t="n">
        <v>46195</v>
      </c>
      <c r="C277" s="13" t="s">
        <v>14</v>
      </c>
      <c r="D277" s="13" t="s">
        <v>69</v>
      </c>
      <c r="E277" s="13" t="s">
        <v>70</v>
      </c>
      <c r="F277" s="14" t="s">
        <v>31</v>
      </c>
      <c r="G277" s="13" t="s">
        <v>30</v>
      </c>
      <c r="H277" s="11" t="s">
        <v>19</v>
      </c>
      <c r="I277" s="15" t="n">
        <v>5563</v>
      </c>
      <c r="J277" s="15" t="n">
        <v>6253</v>
      </c>
      <c r="K277" s="16" t="n">
        <v>5969</v>
      </c>
      <c r="L277" s="17" t="n">
        <v>119.1</v>
      </c>
    </row>
    <row r="278" customFormat="false" ht="15" hidden="false" customHeight="false" outlineLevel="0" collapsed="false">
      <c r="A278" s="4" t="n">
        <v>275</v>
      </c>
      <c r="B278" s="5" t="n">
        <v>46195</v>
      </c>
      <c r="C278" s="6" t="s">
        <v>14</v>
      </c>
      <c r="D278" s="6" t="s">
        <v>69</v>
      </c>
      <c r="E278" s="6" t="s">
        <v>70</v>
      </c>
      <c r="F278" s="7" t="s">
        <v>32</v>
      </c>
      <c r="G278" s="6" t="s">
        <v>30</v>
      </c>
      <c r="H278" s="4" t="s">
        <v>19</v>
      </c>
      <c r="I278" s="8" t="n">
        <v>4080</v>
      </c>
      <c r="J278" s="8" t="n">
        <v>5182</v>
      </c>
      <c r="K278" s="9" t="n">
        <v>4586</v>
      </c>
      <c r="L278" s="10" t="n">
        <v>152.5</v>
      </c>
    </row>
    <row r="279" customFormat="false" ht="15" hidden="false" customHeight="false" outlineLevel="0" collapsed="false">
      <c r="A279" s="11" t="n">
        <v>276</v>
      </c>
      <c r="B279" s="12" t="n">
        <v>46195</v>
      </c>
      <c r="C279" s="13" t="s">
        <v>14</v>
      </c>
      <c r="D279" s="13" t="s">
        <v>69</v>
      </c>
      <c r="E279" s="13" t="s">
        <v>70</v>
      </c>
      <c r="F279" s="14" t="s">
        <v>33</v>
      </c>
      <c r="G279" s="13" t="s">
        <v>30</v>
      </c>
      <c r="H279" s="11" t="s">
        <v>19</v>
      </c>
      <c r="I279" s="15" t="n">
        <v>7069</v>
      </c>
      <c r="J279" s="15" t="n">
        <v>8535</v>
      </c>
      <c r="K279" s="16" t="n">
        <v>7587</v>
      </c>
      <c r="L279" s="17" t="n">
        <v>147.1</v>
      </c>
    </row>
    <row r="280" customFormat="false" ht="15" hidden="false" customHeight="false" outlineLevel="0" collapsed="false">
      <c r="A280" s="4" t="n">
        <v>277</v>
      </c>
      <c r="B280" s="5" t="n">
        <v>46195</v>
      </c>
      <c r="C280" s="6" t="s">
        <v>14</v>
      </c>
      <c r="D280" s="6" t="s">
        <v>69</v>
      </c>
      <c r="E280" s="6" t="s">
        <v>70</v>
      </c>
      <c r="F280" s="7" t="s">
        <v>34</v>
      </c>
      <c r="G280" s="6" t="s">
        <v>30</v>
      </c>
      <c r="H280" s="4" t="s">
        <v>19</v>
      </c>
      <c r="I280" s="8" t="n">
        <v>23599</v>
      </c>
      <c r="J280" s="8" t="n">
        <v>27215</v>
      </c>
      <c r="K280" s="9" t="n">
        <v>24746</v>
      </c>
      <c r="L280" s="10" t="n">
        <v>37.4</v>
      </c>
    </row>
    <row r="281" customFormat="false" ht="15" hidden="false" customHeight="false" outlineLevel="0" collapsed="false">
      <c r="A281" s="11" t="n">
        <v>278</v>
      </c>
      <c r="B281" s="12" t="n">
        <v>46195</v>
      </c>
      <c r="C281" s="13" t="s">
        <v>14</v>
      </c>
      <c r="D281" s="13" t="s">
        <v>69</v>
      </c>
      <c r="E281" s="13" t="s">
        <v>71</v>
      </c>
      <c r="F281" s="14" t="s">
        <v>17</v>
      </c>
      <c r="G281" s="13" t="s">
        <v>18</v>
      </c>
      <c r="H281" s="11" t="s">
        <v>19</v>
      </c>
      <c r="I281" s="15" t="n">
        <v>2371</v>
      </c>
      <c r="J281" s="15" t="n">
        <v>2802</v>
      </c>
      <c r="K281" s="16" t="n">
        <v>2524</v>
      </c>
      <c r="L281" s="17" t="n">
        <v>225.8</v>
      </c>
    </row>
    <row r="282" customFormat="false" ht="15" hidden="false" customHeight="false" outlineLevel="0" collapsed="false">
      <c r="A282" s="4" t="n">
        <v>279</v>
      </c>
      <c r="B282" s="5" t="n">
        <v>46195</v>
      </c>
      <c r="C282" s="6" t="s">
        <v>14</v>
      </c>
      <c r="D282" s="6" t="s">
        <v>69</v>
      </c>
      <c r="E282" s="6" t="s">
        <v>71</v>
      </c>
      <c r="F282" s="7" t="s">
        <v>20</v>
      </c>
      <c r="G282" s="6" t="s">
        <v>18</v>
      </c>
      <c r="H282" s="4" t="s">
        <v>19</v>
      </c>
      <c r="I282" s="8" t="n">
        <v>2275</v>
      </c>
      <c r="J282" s="8" t="n">
        <v>2733</v>
      </c>
      <c r="K282" s="9" t="n">
        <v>2398</v>
      </c>
      <c r="L282" s="10" t="n">
        <v>78.4</v>
      </c>
    </row>
    <row r="283" customFormat="false" ht="15" hidden="false" customHeight="false" outlineLevel="0" collapsed="false">
      <c r="A283" s="11" t="n">
        <v>280</v>
      </c>
      <c r="B283" s="12" t="n">
        <v>46195</v>
      </c>
      <c r="C283" s="13" t="s">
        <v>14</v>
      </c>
      <c r="D283" s="13" t="s">
        <v>69</v>
      </c>
      <c r="E283" s="13" t="s">
        <v>71</v>
      </c>
      <c r="F283" s="14" t="s">
        <v>21</v>
      </c>
      <c r="G283" s="13" t="s">
        <v>18</v>
      </c>
      <c r="H283" s="11" t="s">
        <v>19</v>
      </c>
      <c r="I283" s="15" t="n">
        <v>2203</v>
      </c>
      <c r="J283" s="15" t="n">
        <v>2727</v>
      </c>
      <c r="K283" s="16" t="n">
        <v>2467</v>
      </c>
      <c r="L283" s="17" t="n">
        <v>188.9</v>
      </c>
    </row>
    <row r="284" customFormat="false" ht="15" hidden="false" customHeight="false" outlineLevel="0" collapsed="false">
      <c r="A284" s="4" t="n">
        <v>281</v>
      </c>
      <c r="B284" s="5" t="n">
        <v>46195</v>
      </c>
      <c r="C284" s="6" t="s">
        <v>14</v>
      </c>
      <c r="D284" s="6" t="s">
        <v>69</v>
      </c>
      <c r="E284" s="6" t="s">
        <v>71</v>
      </c>
      <c r="F284" s="7" t="s">
        <v>22</v>
      </c>
      <c r="G284" s="6" t="s">
        <v>18</v>
      </c>
      <c r="H284" s="4" t="s">
        <v>19</v>
      </c>
      <c r="I284" s="8" t="n">
        <v>4101</v>
      </c>
      <c r="J284" s="8" t="n">
        <v>4374</v>
      </c>
      <c r="K284" s="9" t="n">
        <v>4239</v>
      </c>
      <c r="L284" s="10" t="n">
        <v>53.5</v>
      </c>
    </row>
    <row r="285" customFormat="false" ht="15" hidden="false" customHeight="false" outlineLevel="0" collapsed="false">
      <c r="A285" s="11" t="n">
        <v>282</v>
      </c>
      <c r="B285" s="12" t="n">
        <v>46195</v>
      </c>
      <c r="C285" s="13" t="s">
        <v>14</v>
      </c>
      <c r="D285" s="13" t="s">
        <v>69</v>
      </c>
      <c r="E285" s="13" t="s">
        <v>71</v>
      </c>
      <c r="F285" s="14" t="s">
        <v>23</v>
      </c>
      <c r="G285" s="13" t="s">
        <v>18</v>
      </c>
      <c r="H285" s="11" t="s">
        <v>19</v>
      </c>
      <c r="I285" s="15" t="n">
        <v>2104</v>
      </c>
      <c r="J285" s="15" t="n">
        <v>2377</v>
      </c>
      <c r="K285" s="16" t="n">
        <v>2285</v>
      </c>
      <c r="L285" s="17" t="n">
        <v>34.4</v>
      </c>
    </row>
    <row r="286" customFormat="false" ht="15" hidden="false" customHeight="false" outlineLevel="0" collapsed="false">
      <c r="A286" s="4" t="n">
        <v>283</v>
      </c>
      <c r="B286" s="5" t="n">
        <v>46195</v>
      </c>
      <c r="C286" s="6" t="s">
        <v>14</v>
      </c>
      <c r="D286" s="6" t="s">
        <v>69</v>
      </c>
      <c r="E286" s="6" t="s">
        <v>71</v>
      </c>
      <c r="F286" s="7" t="s">
        <v>24</v>
      </c>
      <c r="G286" s="6" t="s">
        <v>25</v>
      </c>
      <c r="H286" s="4" t="s">
        <v>19</v>
      </c>
      <c r="I286" s="8" t="n">
        <v>6901</v>
      </c>
      <c r="J286" s="8" t="n">
        <v>7850</v>
      </c>
      <c r="K286" s="9" t="n">
        <v>7153</v>
      </c>
      <c r="L286" s="10" t="n">
        <v>304.9</v>
      </c>
    </row>
    <row r="287" customFormat="false" ht="15" hidden="false" customHeight="false" outlineLevel="0" collapsed="false">
      <c r="A287" s="11" t="n">
        <v>284</v>
      </c>
      <c r="B287" s="12" t="n">
        <v>46195</v>
      </c>
      <c r="C287" s="13" t="s">
        <v>14</v>
      </c>
      <c r="D287" s="13" t="s">
        <v>69</v>
      </c>
      <c r="E287" s="13" t="s">
        <v>71</v>
      </c>
      <c r="F287" s="14" t="s">
        <v>26</v>
      </c>
      <c r="G287" s="13" t="s">
        <v>25</v>
      </c>
      <c r="H287" s="11" t="s">
        <v>19</v>
      </c>
      <c r="I287" s="15" t="n">
        <v>5088</v>
      </c>
      <c r="J287" s="15" t="n">
        <v>5510</v>
      </c>
      <c r="K287" s="16" t="n">
        <v>5368</v>
      </c>
      <c r="L287" s="17" t="n">
        <v>46.1</v>
      </c>
    </row>
    <row r="288" customFormat="false" ht="15" hidden="false" customHeight="false" outlineLevel="0" collapsed="false">
      <c r="A288" s="4" t="n">
        <v>285</v>
      </c>
      <c r="B288" s="5" t="n">
        <v>46195</v>
      </c>
      <c r="C288" s="6" t="s">
        <v>14</v>
      </c>
      <c r="D288" s="6" t="s">
        <v>69</v>
      </c>
      <c r="E288" s="6" t="s">
        <v>71</v>
      </c>
      <c r="F288" s="7" t="s">
        <v>27</v>
      </c>
      <c r="G288" s="6" t="s">
        <v>25</v>
      </c>
      <c r="H288" s="4" t="s">
        <v>19</v>
      </c>
      <c r="I288" s="8" t="n">
        <v>10190</v>
      </c>
      <c r="J288" s="8" t="n">
        <v>12196</v>
      </c>
      <c r="K288" s="9" t="n">
        <v>11098</v>
      </c>
      <c r="L288" s="10" t="n">
        <v>43.6</v>
      </c>
    </row>
  </sheetData>
  <mergeCells count="2">
    <mergeCell ref="A1:L1"/>
    <mergeCell ref="A2:L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6" min="2" style="0" width="11"/>
    <col collapsed="false" customWidth="true" hidden="false" outlineLevel="0" max="7" min="7" style="0" width="12"/>
    <col collapsed="false" customWidth="true" hidden="false" outlineLevel="0" max="9" min="8" style="0" width="10"/>
  </cols>
  <sheetData>
    <row r="1" customFormat="false" ht="30" hidden="false" customHeight="true" outlineLevel="0" collapsed="false">
      <c r="A1" s="1" t="s">
        <v>72</v>
      </c>
      <c r="B1" s="1"/>
      <c r="C1" s="1"/>
      <c r="D1" s="1"/>
      <c r="E1" s="1"/>
      <c r="F1" s="1"/>
      <c r="G1" s="1"/>
      <c r="H1" s="1"/>
      <c r="I1" s="1"/>
    </row>
    <row r="2" customFormat="false" ht="25.5" hidden="false" customHeight="true" outlineLevel="0" collapsed="false">
      <c r="A2" s="3" t="s">
        <v>73</v>
      </c>
      <c r="B2" s="3" t="s">
        <v>74</v>
      </c>
      <c r="C2" s="3" t="s">
        <v>20</v>
      </c>
      <c r="D2" s="3" t="s">
        <v>21</v>
      </c>
      <c r="E2" s="3" t="s">
        <v>24</v>
      </c>
      <c r="F2" s="3" t="s">
        <v>31</v>
      </c>
      <c r="G2" s="3" t="s">
        <v>29</v>
      </c>
      <c r="H2" s="3" t="s">
        <v>38</v>
      </c>
      <c r="I2" s="3" t="s">
        <v>40</v>
      </c>
    </row>
    <row r="3" customFormat="false" ht="15" hidden="false" customHeight="false" outlineLevel="0" collapsed="false">
      <c r="A3" s="4" t="s">
        <v>75</v>
      </c>
      <c r="B3" s="8" t="n">
        <v>2310</v>
      </c>
      <c r="C3" s="8" t="n">
        <v>2380</v>
      </c>
      <c r="D3" s="8" t="n">
        <v>2420</v>
      </c>
      <c r="E3" s="8" t="n">
        <v>6800</v>
      </c>
      <c r="F3" s="8" t="n">
        <v>5680</v>
      </c>
      <c r="G3" s="8" t="n">
        <v>6100</v>
      </c>
      <c r="H3" s="8" t="n">
        <v>2100</v>
      </c>
      <c r="I3" s="8" t="n">
        <v>1800</v>
      </c>
    </row>
    <row r="4" customFormat="false" ht="15" hidden="false" customHeight="false" outlineLevel="0" collapsed="false">
      <c r="A4" s="11" t="s">
        <v>76</v>
      </c>
      <c r="B4" s="15" t="n">
        <v>2290</v>
      </c>
      <c r="C4" s="15" t="n">
        <v>2360</v>
      </c>
      <c r="D4" s="15" t="n">
        <v>2390</v>
      </c>
      <c r="E4" s="15" t="n">
        <v>6950</v>
      </c>
      <c r="F4" s="15" t="n">
        <v>5720</v>
      </c>
      <c r="G4" s="15" t="n">
        <v>6050</v>
      </c>
      <c r="H4" s="15" t="n">
        <v>1900</v>
      </c>
      <c r="I4" s="15" t="n">
        <v>2200</v>
      </c>
    </row>
    <row r="5" customFormat="false" ht="15" hidden="false" customHeight="false" outlineLevel="0" collapsed="false">
      <c r="A5" s="4" t="s">
        <v>77</v>
      </c>
      <c r="B5" s="8" t="n">
        <v>2280</v>
      </c>
      <c r="C5" s="8" t="n">
        <v>2340</v>
      </c>
      <c r="D5" s="8" t="n">
        <v>2370</v>
      </c>
      <c r="E5" s="8" t="n">
        <v>7100</v>
      </c>
      <c r="F5" s="8" t="n">
        <v>5810</v>
      </c>
      <c r="G5" s="8" t="n">
        <v>5980</v>
      </c>
      <c r="H5" s="8" t="n">
        <v>1600</v>
      </c>
      <c r="I5" s="8" t="n">
        <v>2600</v>
      </c>
    </row>
    <row r="6" customFormat="false" ht="15" hidden="false" customHeight="false" outlineLevel="0" collapsed="false">
      <c r="A6" s="11" t="s">
        <v>78</v>
      </c>
      <c r="B6" s="15" t="n">
        <v>2320</v>
      </c>
      <c r="C6" s="15" t="n">
        <v>2410</v>
      </c>
      <c r="D6" s="15" t="n">
        <v>2400</v>
      </c>
      <c r="E6" s="15" t="n">
        <v>7250</v>
      </c>
      <c r="F6" s="15" t="n">
        <v>5880</v>
      </c>
      <c r="G6" s="15" t="n">
        <v>6020</v>
      </c>
      <c r="H6" s="15" t="n">
        <v>1400</v>
      </c>
      <c r="I6" s="15" t="n">
        <v>2800</v>
      </c>
    </row>
    <row r="7" customFormat="false" ht="15" hidden="false" customHeight="false" outlineLevel="0" collapsed="false">
      <c r="A7" s="4" t="s">
        <v>79</v>
      </c>
      <c r="B7" s="8" t="n">
        <v>2380</v>
      </c>
      <c r="C7" s="8" t="n">
        <v>2460</v>
      </c>
      <c r="D7" s="8" t="n">
        <v>2450</v>
      </c>
      <c r="E7" s="8" t="n">
        <v>7400</v>
      </c>
      <c r="F7" s="8" t="n">
        <v>5940</v>
      </c>
      <c r="G7" s="8" t="n">
        <v>6120</v>
      </c>
      <c r="H7" s="8" t="n">
        <v>1200</v>
      </c>
      <c r="I7" s="8" t="n">
        <v>3200</v>
      </c>
    </row>
    <row r="8" customFormat="false" ht="15" hidden="false" customHeight="false" outlineLevel="0" collapsed="false">
      <c r="A8" s="11" t="s">
        <v>80</v>
      </c>
      <c r="B8" s="15" t="n">
        <v>2420</v>
      </c>
      <c r="C8" s="15" t="n">
        <v>2500</v>
      </c>
      <c r="D8" s="15" t="n">
        <v>2520</v>
      </c>
      <c r="E8" s="15" t="n">
        <v>7550</v>
      </c>
      <c r="F8" s="15" t="n">
        <v>6010</v>
      </c>
      <c r="G8" s="15" t="n">
        <v>6200</v>
      </c>
      <c r="H8" s="15" t="n">
        <v>1100</v>
      </c>
      <c r="I8" s="15" t="n">
        <v>3600</v>
      </c>
    </row>
    <row r="9" customFormat="false" ht="15" hidden="false" customHeight="false" outlineLevel="0" collapsed="false">
      <c r="A9" s="4" t="s">
        <v>81</v>
      </c>
      <c r="B9" s="8" t="n">
        <v>2450</v>
      </c>
      <c r="C9" s="8" t="n">
        <v>2520</v>
      </c>
      <c r="D9" s="8" t="n">
        <v>2580</v>
      </c>
      <c r="E9" s="8" t="n">
        <v>7600</v>
      </c>
      <c r="F9" s="8" t="n">
        <v>6080</v>
      </c>
      <c r="G9" s="8" t="n">
        <v>6300</v>
      </c>
      <c r="H9" s="8" t="n">
        <v>1000</v>
      </c>
      <c r="I9" s="8" t="n">
        <v>3800</v>
      </c>
    </row>
    <row r="10" customFormat="false" ht="15" hidden="false" customHeight="false" outlineLevel="0" collapsed="false">
      <c r="A10" s="11" t="s">
        <v>82</v>
      </c>
      <c r="B10" s="15" t="n">
        <v>2430</v>
      </c>
      <c r="C10" s="15" t="n">
        <v>2510</v>
      </c>
      <c r="D10" s="15" t="n">
        <v>2560</v>
      </c>
      <c r="E10" s="15" t="n">
        <v>7500</v>
      </c>
      <c r="F10" s="15" t="n">
        <v>6120</v>
      </c>
      <c r="G10" s="15" t="n">
        <v>6350</v>
      </c>
      <c r="H10" s="15" t="n">
        <v>900</v>
      </c>
      <c r="I10" s="15" t="n">
        <v>3500</v>
      </c>
    </row>
    <row r="11" customFormat="false" ht="15" hidden="false" customHeight="false" outlineLevel="0" collapsed="false">
      <c r="A11" s="4" t="s">
        <v>83</v>
      </c>
      <c r="B11" s="8" t="n">
        <v>2410</v>
      </c>
      <c r="C11" s="8" t="n">
        <v>2490</v>
      </c>
      <c r="D11" s="8" t="n">
        <v>2510</v>
      </c>
      <c r="E11" s="8" t="n">
        <v>7400</v>
      </c>
      <c r="F11" s="8" t="n">
        <v>6090</v>
      </c>
      <c r="G11" s="8" t="n">
        <v>6280</v>
      </c>
      <c r="H11" s="8" t="n">
        <v>1100</v>
      </c>
      <c r="I11" s="8" t="n">
        <v>3100</v>
      </c>
    </row>
    <row r="12" customFormat="false" ht="15" hidden="false" customHeight="false" outlineLevel="0" collapsed="false">
      <c r="A12" s="11" t="s">
        <v>84</v>
      </c>
      <c r="B12" s="15" t="n">
        <v>2350</v>
      </c>
      <c r="C12" s="15" t="n">
        <v>2440</v>
      </c>
      <c r="D12" s="15" t="n">
        <v>2440</v>
      </c>
      <c r="E12" s="15" t="n">
        <v>7200</v>
      </c>
      <c r="F12" s="15" t="n">
        <v>5980</v>
      </c>
      <c r="G12" s="15" t="n">
        <v>6180</v>
      </c>
      <c r="H12" s="15" t="n">
        <v>1400</v>
      </c>
      <c r="I12" s="15" t="n">
        <v>2600</v>
      </c>
    </row>
    <row r="13" customFormat="false" ht="15" hidden="false" customHeight="false" outlineLevel="0" collapsed="false">
      <c r="A13" s="4" t="s">
        <v>85</v>
      </c>
      <c r="B13" s="8" t="n">
        <v>2310</v>
      </c>
      <c r="C13" s="8" t="n">
        <v>2400</v>
      </c>
      <c r="D13" s="8" t="n">
        <v>2400</v>
      </c>
      <c r="E13" s="8" t="n">
        <v>7000</v>
      </c>
      <c r="F13" s="8" t="n">
        <v>5900</v>
      </c>
      <c r="G13" s="8" t="n">
        <v>6100</v>
      </c>
      <c r="H13" s="8" t="n">
        <v>1800</v>
      </c>
      <c r="I13" s="8" t="n">
        <v>2100</v>
      </c>
    </row>
    <row r="14" customFormat="false" ht="15" hidden="false" customHeight="false" outlineLevel="0" collapsed="false">
      <c r="A14" s="11" t="s">
        <v>86</v>
      </c>
      <c r="B14" s="15" t="n">
        <v>2330</v>
      </c>
      <c r="C14" s="15" t="n">
        <v>2420</v>
      </c>
      <c r="D14" s="15" t="n">
        <v>2440</v>
      </c>
      <c r="E14" s="15" t="n">
        <v>7100</v>
      </c>
      <c r="F14" s="15" t="n">
        <v>5950</v>
      </c>
      <c r="G14" s="15" t="n">
        <v>6120</v>
      </c>
      <c r="H14" s="15" t="n">
        <v>2000</v>
      </c>
      <c r="I14" s="15" t="n">
        <v>1900</v>
      </c>
    </row>
    <row r="15" customFormat="false" ht="15" hidden="false" customHeight="false" outlineLevel="0" collapsed="false">
      <c r="A15" s="4" t="s">
        <v>87</v>
      </c>
      <c r="B15" s="8" t="n">
        <v>2370</v>
      </c>
      <c r="C15" s="8" t="n">
        <v>2450</v>
      </c>
      <c r="D15" s="8" t="n">
        <v>2480</v>
      </c>
      <c r="E15" s="8" t="n">
        <v>7250</v>
      </c>
      <c r="F15" s="8" t="n">
        <v>6010</v>
      </c>
      <c r="G15" s="8" t="n">
        <v>6200</v>
      </c>
      <c r="H15" s="8" t="n">
        <v>2200</v>
      </c>
      <c r="I15" s="8" t="n">
        <v>1700</v>
      </c>
    </row>
    <row r="16" customFormat="false" ht="15" hidden="false" customHeight="false" outlineLevel="0" collapsed="false">
      <c r="A16" s="11" t="s">
        <v>88</v>
      </c>
      <c r="B16" s="15" t="n">
        <v>2400</v>
      </c>
      <c r="C16" s="15" t="n">
        <v>2460</v>
      </c>
      <c r="D16" s="15" t="n">
        <v>2510</v>
      </c>
      <c r="E16" s="15" t="n">
        <v>7350</v>
      </c>
      <c r="F16" s="15" t="n">
        <v>6040</v>
      </c>
      <c r="G16" s="15" t="n">
        <v>6250</v>
      </c>
      <c r="H16" s="15" t="n">
        <v>2000</v>
      </c>
      <c r="I16" s="15" t="n">
        <v>2000</v>
      </c>
    </row>
    <row r="17" customFormat="false" ht="15" hidden="false" customHeight="false" outlineLevel="0" collapsed="false">
      <c r="A17" s="4" t="s">
        <v>89</v>
      </c>
      <c r="B17" s="8" t="n">
        <v>2430</v>
      </c>
      <c r="C17" s="8" t="n">
        <v>2480</v>
      </c>
      <c r="D17" s="8" t="n">
        <v>2540</v>
      </c>
      <c r="E17" s="8" t="n">
        <v>7450</v>
      </c>
      <c r="F17" s="8" t="n">
        <v>6060</v>
      </c>
      <c r="G17" s="8" t="n">
        <v>6280</v>
      </c>
      <c r="H17" s="8" t="n">
        <v>1700</v>
      </c>
      <c r="I17" s="8" t="n">
        <v>2400</v>
      </c>
    </row>
    <row r="18" customFormat="false" ht="15" hidden="false" customHeight="false" outlineLevel="0" collapsed="false">
      <c r="A18" s="11" t="s">
        <v>90</v>
      </c>
      <c r="B18" s="15" t="n">
        <v>2450</v>
      </c>
      <c r="C18" s="15" t="n">
        <v>2490</v>
      </c>
      <c r="D18" s="15" t="n">
        <v>2560</v>
      </c>
      <c r="E18" s="15" t="n">
        <v>7520</v>
      </c>
      <c r="F18" s="15" t="n">
        <v>6080</v>
      </c>
      <c r="G18" s="15" t="n">
        <v>6310</v>
      </c>
      <c r="H18" s="15" t="n">
        <v>1400</v>
      </c>
      <c r="I18" s="15" t="n">
        <v>2700</v>
      </c>
    </row>
    <row r="19" customFormat="false" ht="15" hidden="false" customHeight="false" outlineLevel="0" collapsed="false">
      <c r="A19" s="4" t="s">
        <v>91</v>
      </c>
      <c r="B19" s="8" t="n">
        <v>2470</v>
      </c>
      <c r="C19" s="8" t="n">
        <v>2495</v>
      </c>
      <c r="D19" s="8" t="n">
        <v>2580</v>
      </c>
      <c r="E19" s="8" t="n">
        <v>7560</v>
      </c>
      <c r="F19" s="8" t="n">
        <v>6095</v>
      </c>
      <c r="G19" s="8" t="n">
        <v>6340</v>
      </c>
      <c r="H19" s="8" t="n">
        <v>1150</v>
      </c>
      <c r="I19" s="8" t="n">
        <v>3100</v>
      </c>
    </row>
    <row r="20" customFormat="false" ht="15" hidden="false" customHeight="false" outlineLevel="0" collapsed="false">
      <c r="A20" s="11" t="s">
        <v>92</v>
      </c>
      <c r="B20" s="15" t="n">
        <v>2481</v>
      </c>
      <c r="C20" s="15" t="n">
        <v>2488</v>
      </c>
      <c r="D20" s="15" t="n">
        <v>2600</v>
      </c>
      <c r="E20" s="15" t="n">
        <v>7600</v>
      </c>
      <c r="F20" s="15" t="n">
        <v>6114</v>
      </c>
      <c r="G20" s="15" t="n">
        <v>6376</v>
      </c>
      <c r="H20" s="15" t="n">
        <v>1500</v>
      </c>
      <c r="I20" s="15" t="n">
        <v>2200</v>
      </c>
    </row>
  </sheetData>
  <mergeCells count="1">
    <mergeCell ref="A1:I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14" min="2" style="0" width="8"/>
  </cols>
  <sheetData>
    <row r="1" customFormat="false" ht="30" hidden="false" customHeight="true" outlineLevel="0" collapsed="false">
      <c r="A1" s="1" t="s">
        <v>93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25.5" hidden="false" customHeight="true" outlineLevel="0" collapsed="false">
      <c r="A2" s="3" t="s">
        <v>7</v>
      </c>
      <c r="B2" s="3" t="s">
        <v>94</v>
      </c>
      <c r="C2" s="3" t="s">
        <v>95</v>
      </c>
      <c r="D2" s="3" t="s">
        <v>96</v>
      </c>
      <c r="E2" s="3" t="s">
        <v>97</v>
      </c>
      <c r="F2" s="3" t="s">
        <v>98</v>
      </c>
      <c r="G2" s="3" t="s">
        <v>99</v>
      </c>
      <c r="H2" s="3" t="s">
        <v>100</v>
      </c>
      <c r="I2" s="3" t="s">
        <v>101</v>
      </c>
      <c r="J2" s="3" t="s">
        <v>102</v>
      </c>
      <c r="K2" s="3" t="s">
        <v>103</v>
      </c>
      <c r="L2" s="3" t="s">
        <v>104</v>
      </c>
      <c r="M2" s="3" t="s">
        <v>105</v>
      </c>
      <c r="N2" s="3" t="s">
        <v>106</v>
      </c>
    </row>
    <row r="3" customFormat="false" ht="15" hidden="false" customHeight="false" outlineLevel="0" collapsed="false">
      <c r="A3" s="7" t="s">
        <v>74</v>
      </c>
      <c r="B3" s="18" t="n">
        <v>78</v>
      </c>
      <c r="C3" s="18" t="n">
        <v>75</v>
      </c>
      <c r="D3" s="18" t="n">
        <v>82</v>
      </c>
      <c r="E3" s="4" t="n">
        <v>90</v>
      </c>
      <c r="F3" s="4" t="n">
        <v>105</v>
      </c>
      <c r="G3" s="19" t="n">
        <v>118</v>
      </c>
      <c r="H3" s="19" t="n">
        <v>115</v>
      </c>
      <c r="I3" s="4" t="n">
        <v>108</v>
      </c>
      <c r="J3" s="4" t="n">
        <v>95</v>
      </c>
      <c r="K3" s="18" t="n">
        <v>85</v>
      </c>
      <c r="L3" s="18" t="n">
        <v>82</v>
      </c>
      <c r="M3" s="18" t="n">
        <v>78</v>
      </c>
      <c r="N3" s="20" t="s">
        <v>99</v>
      </c>
    </row>
    <row r="4" customFormat="false" ht="15" hidden="false" customHeight="false" outlineLevel="0" collapsed="false">
      <c r="A4" s="14" t="s">
        <v>20</v>
      </c>
      <c r="B4" s="18" t="n">
        <v>82</v>
      </c>
      <c r="C4" s="18" t="n">
        <v>80</v>
      </c>
      <c r="D4" s="18" t="n">
        <v>78</v>
      </c>
      <c r="E4" s="18" t="n">
        <v>85</v>
      </c>
      <c r="F4" s="11" t="n">
        <v>95</v>
      </c>
      <c r="G4" s="11" t="n">
        <v>108</v>
      </c>
      <c r="H4" s="19" t="n">
        <v>115</v>
      </c>
      <c r="I4" s="19" t="n">
        <v>112</v>
      </c>
      <c r="J4" s="11" t="n">
        <v>108</v>
      </c>
      <c r="K4" s="11" t="n">
        <v>100</v>
      </c>
      <c r="L4" s="11" t="n">
        <v>92</v>
      </c>
      <c r="M4" s="18" t="n">
        <v>85</v>
      </c>
      <c r="N4" s="20" t="s">
        <v>100</v>
      </c>
    </row>
    <row r="5" customFormat="false" ht="15" hidden="false" customHeight="false" outlineLevel="0" collapsed="false">
      <c r="A5" s="7" t="s">
        <v>21</v>
      </c>
      <c r="B5" s="18" t="n">
        <v>88</v>
      </c>
      <c r="C5" s="18" t="n">
        <v>85</v>
      </c>
      <c r="D5" s="18" t="n">
        <v>82</v>
      </c>
      <c r="E5" s="18" t="n">
        <v>80</v>
      </c>
      <c r="F5" s="18" t="n">
        <v>85</v>
      </c>
      <c r="G5" s="4" t="n">
        <v>98</v>
      </c>
      <c r="H5" s="19" t="n">
        <v>112</v>
      </c>
      <c r="I5" s="19" t="n">
        <v>118</v>
      </c>
      <c r="J5" s="4" t="n">
        <v>108</v>
      </c>
      <c r="K5" s="4" t="n">
        <v>90</v>
      </c>
      <c r="L5" s="18" t="n">
        <v>85</v>
      </c>
      <c r="M5" s="18" t="n">
        <v>82</v>
      </c>
      <c r="N5" s="20" t="s">
        <v>101</v>
      </c>
    </row>
    <row r="6" customFormat="false" ht="15" hidden="false" customHeight="false" outlineLevel="0" collapsed="false">
      <c r="A6" s="14" t="s">
        <v>24</v>
      </c>
      <c r="B6" s="18" t="n">
        <v>85</v>
      </c>
      <c r="C6" s="18" t="n">
        <v>82</v>
      </c>
      <c r="D6" s="18" t="n">
        <v>80</v>
      </c>
      <c r="E6" s="18" t="n">
        <v>78</v>
      </c>
      <c r="F6" s="18" t="n">
        <v>82</v>
      </c>
      <c r="G6" s="11" t="n">
        <v>95</v>
      </c>
      <c r="H6" s="19" t="n">
        <v>110</v>
      </c>
      <c r="I6" s="19" t="n">
        <v>118</v>
      </c>
      <c r="J6" s="19" t="n">
        <v>115</v>
      </c>
      <c r="K6" s="11" t="n">
        <v>102</v>
      </c>
      <c r="L6" s="11" t="n">
        <v>92</v>
      </c>
      <c r="M6" s="18" t="n">
        <v>85</v>
      </c>
      <c r="N6" s="20" t="s">
        <v>101</v>
      </c>
    </row>
    <row r="7" customFormat="false" ht="15" hidden="false" customHeight="false" outlineLevel="0" collapsed="false">
      <c r="A7" s="7" t="s">
        <v>31</v>
      </c>
      <c r="B7" s="18" t="n">
        <v>82</v>
      </c>
      <c r="C7" s="18" t="n">
        <v>80</v>
      </c>
      <c r="D7" s="18" t="n">
        <v>78</v>
      </c>
      <c r="E7" s="18" t="n">
        <v>82</v>
      </c>
      <c r="F7" s="4" t="n">
        <v>90</v>
      </c>
      <c r="G7" s="4" t="n">
        <v>105</v>
      </c>
      <c r="H7" s="19" t="n">
        <v>115</v>
      </c>
      <c r="I7" s="19" t="n">
        <v>118</v>
      </c>
      <c r="J7" s="19" t="n">
        <v>112</v>
      </c>
      <c r="K7" s="4" t="n">
        <v>102</v>
      </c>
      <c r="L7" s="4" t="n">
        <v>92</v>
      </c>
      <c r="M7" s="18" t="n">
        <v>85</v>
      </c>
      <c r="N7" s="20" t="s">
        <v>101</v>
      </c>
    </row>
    <row r="8" customFormat="false" ht="15" hidden="false" customHeight="false" outlineLevel="0" collapsed="false">
      <c r="A8" s="14" t="s">
        <v>29</v>
      </c>
      <c r="B8" s="18" t="n">
        <v>88</v>
      </c>
      <c r="C8" s="18" t="n">
        <v>85</v>
      </c>
      <c r="D8" s="18" t="n">
        <v>82</v>
      </c>
      <c r="E8" s="18" t="n">
        <v>80</v>
      </c>
      <c r="F8" s="18" t="n">
        <v>82</v>
      </c>
      <c r="G8" s="11" t="n">
        <v>92</v>
      </c>
      <c r="H8" s="11" t="n">
        <v>108</v>
      </c>
      <c r="I8" s="19" t="n">
        <v>115</v>
      </c>
      <c r="J8" s="19" t="n">
        <v>112</v>
      </c>
      <c r="K8" s="11" t="n">
        <v>100</v>
      </c>
      <c r="L8" s="11" t="n">
        <v>92</v>
      </c>
      <c r="M8" s="18" t="n">
        <v>88</v>
      </c>
      <c r="N8" s="20" t="s">
        <v>101</v>
      </c>
    </row>
    <row r="9" customFormat="false" ht="15" hidden="false" customHeight="false" outlineLevel="0" collapsed="false">
      <c r="A9" s="7" t="s">
        <v>38</v>
      </c>
      <c r="B9" s="4" t="n">
        <v>95</v>
      </c>
      <c r="C9" s="4" t="n">
        <v>90</v>
      </c>
      <c r="D9" s="18" t="n">
        <v>85</v>
      </c>
      <c r="E9" s="18" t="n">
        <v>80</v>
      </c>
      <c r="F9" s="18" t="n">
        <v>82</v>
      </c>
      <c r="G9" s="4" t="n">
        <v>92</v>
      </c>
      <c r="H9" s="19" t="n">
        <v>115</v>
      </c>
      <c r="I9" s="19" t="n">
        <v>125</v>
      </c>
      <c r="J9" s="19" t="n">
        <v>118</v>
      </c>
      <c r="K9" s="4" t="n">
        <v>105</v>
      </c>
      <c r="L9" s="4" t="n">
        <v>98</v>
      </c>
      <c r="M9" s="4" t="n">
        <v>92</v>
      </c>
      <c r="N9" s="20" t="s">
        <v>101</v>
      </c>
    </row>
    <row r="10" customFormat="false" ht="15" hidden="false" customHeight="false" outlineLevel="0" collapsed="false">
      <c r="A10" s="14" t="s">
        <v>40</v>
      </c>
      <c r="B10" s="11" t="n">
        <v>90</v>
      </c>
      <c r="C10" s="18" t="n">
        <v>88</v>
      </c>
      <c r="D10" s="18" t="n">
        <v>85</v>
      </c>
      <c r="E10" s="18" t="n">
        <v>82</v>
      </c>
      <c r="F10" s="18" t="n">
        <v>85</v>
      </c>
      <c r="G10" s="11" t="n">
        <v>95</v>
      </c>
      <c r="H10" s="19" t="n">
        <v>112</v>
      </c>
      <c r="I10" s="19" t="n">
        <v>122</v>
      </c>
      <c r="J10" s="19" t="n">
        <v>115</v>
      </c>
      <c r="K10" s="11" t="n">
        <v>102</v>
      </c>
      <c r="L10" s="11" t="n">
        <v>95</v>
      </c>
      <c r="M10" s="11" t="n">
        <v>90</v>
      </c>
      <c r="N10" s="20" t="s">
        <v>101</v>
      </c>
    </row>
    <row r="11" customFormat="false" ht="15" hidden="false" customHeight="false" outlineLevel="0" collapsed="false">
      <c r="A11" s="7" t="s">
        <v>36</v>
      </c>
      <c r="B11" s="18" t="n">
        <v>85</v>
      </c>
      <c r="C11" s="18" t="n">
        <v>82</v>
      </c>
      <c r="D11" s="18" t="n">
        <v>80</v>
      </c>
      <c r="E11" s="18" t="n">
        <v>78</v>
      </c>
      <c r="F11" s="18" t="n">
        <v>82</v>
      </c>
      <c r="G11" s="4" t="n">
        <v>95</v>
      </c>
      <c r="H11" s="4" t="n">
        <v>108</v>
      </c>
      <c r="I11" s="19" t="n">
        <v>115</v>
      </c>
      <c r="J11" s="19" t="n">
        <v>112</v>
      </c>
      <c r="K11" s="4" t="n">
        <v>100</v>
      </c>
      <c r="L11" s="4" t="n">
        <v>92</v>
      </c>
      <c r="M11" s="18" t="n">
        <v>88</v>
      </c>
      <c r="N11" s="20" t="s">
        <v>101</v>
      </c>
    </row>
    <row r="12" customFormat="false" ht="15" hidden="false" customHeight="false" outlineLevel="0" collapsed="false">
      <c r="A12" s="14" t="s">
        <v>107</v>
      </c>
      <c r="B12" s="11" t="n">
        <v>95</v>
      </c>
      <c r="C12" s="11" t="n">
        <v>92</v>
      </c>
      <c r="D12" s="11" t="n">
        <v>90</v>
      </c>
      <c r="E12" s="18" t="n">
        <v>88</v>
      </c>
      <c r="F12" s="11" t="n">
        <v>90</v>
      </c>
      <c r="G12" s="11" t="n">
        <v>98</v>
      </c>
      <c r="H12" s="11" t="n">
        <v>105</v>
      </c>
      <c r="I12" s="19" t="n">
        <v>110</v>
      </c>
      <c r="J12" s="11" t="n">
        <v>108</v>
      </c>
      <c r="K12" s="11" t="n">
        <v>100</v>
      </c>
      <c r="L12" s="11" t="n">
        <v>98</v>
      </c>
      <c r="M12" s="11" t="n">
        <v>95</v>
      </c>
      <c r="N12" s="20" t="s">
        <v>101</v>
      </c>
    </row>
    <row r="13" customFormat="false" ht="15" hidden="false" customHeight="false" outlineLevel="0" collapsed="false">
      <c r="A13" s="7" t="s">
        <v>34</v>
      </c>
      <c r="B13" s="4" t="n">
        <v>92</v>
      </c>
      <c r="C13" s="4" t="n">
        <v>90</v>
      </c>
      <c r="D13" s="18" t="n">
        <v>88</v>
      </c>
      <c r="E13" s="18" t="n">
        <v>85</v>
      </c>
      <c r="F13" s="18" t="n">
        <v>88</v>
      </c>
      <c r="G13" s="4" t="n">
        <v>98</v>
      </c>
      <c r="H13" s="4" t="n">
        <v>108</v>
      </c>
      <c r="I13" s="19" t="n">
        <v>112</v>
      </c>
      <c r="J13" s="19" t="n">
        <v>110</v>
      </c>
      <c r="K13" s="4" t="n">
        <v>100</v>
      </c>
      <c r="L13" s="4" t="n">
        <v>95</v>
      </c>
      <c r="M13" s="4" t="n">
        <v>92</v>
      </c>
      <c r="N13" s="20" t="s">
        <v>101</v>
      </c>
    </row>
    <row r="14" customFormat="false" ht="15" hidden="false" customHeight="false" outlineLevel="0" collapsed="false">
      <c r="A14" s="14" t="s">
        <v>108</v>
      </c>
      <c r="B14" s="18" t="n">
        <v>88</v>
      </c>
      <c r="C14" s="18" t="n">
        <v>85</v>
      </c>
      <c r="D14" s="18" t="n">
        <v>83</v>
      </c>
      <c r="E14" s="18" t="n">
        <v>82</v>
      </c>
      <c r="F14" s="18" t="n">
        <v>85</v>
      </c>
      <c r="G14" s="11" t="n">
        <v>95</v>
      </c>
      <c r="H14" s="11" t="n">
        <v>108</v>
      </c>
      <c r="I14" s="19" t="n">
        <v>116</v>
      </c>
      <c r="J14" s="19" t="n">
        <v>114</v>
      </c>
      <c r="K14" s="11" t="n">
        <v>102</v>
      </c>
      <c r="L14" s="11" t="n">
        <v>94</v>
      </c>
      <c r="M14" s="18" t="n">
        <v>88</v>
      </c>
      <c r="N14" s="20" t="s">
        <v>101</v>
      </c>
    </row>
    <row r="17" customFormat="false" ht="15" hidden="false" customHeight="false" outlineLevel="0" collapsed="false">
      <c r="A17" s="21" t="s">
        <v>109</v>
      </c>
      <c r="B17" s="21"/>
      <c r="C17" s="21"/>
      <c r="D17" s="21"/>
    </row>
  </sheetData>
  <mergeCells count="2">
    <mergeCell ref="A1:N1"/>
    <mergeCell ref="A17:D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4"/>
    <col collapsed="false" customWidth="true" hidden="false" outlineLevel="0" max="3" min="3" style="0" width="10"/>
    <col collapsed="false" customWidth="true" hidden="false" outlineLevel="0" max="5" min="4" style="0" width="16"/>
    <col collapsed="false" customWidth="true" hidden="false" outlineLevel="0" max="6" min="6" style="0" width="18"/>
    <col collapsed="false" customWidth="true" hidden="false" outlineLevel="0" max="8" min="7" style="0" width="14"/>
    <col collapsed="false" customWidth="true" hidden="false" outlineLevel="0" max="9" min="9" style="0" width="22"/>
  </cols>
  <sheetData>
    <row r="1" customFormat="false" ht="30" hidden="false" customHeight="true" outlineLevel="0" collapsed="false">
      <c r="A1" s="1" t="s">
        <v>110</v>
      </c>
      <c r="B1" s="1"/>
      <c r="C1" s="1"/>
      <c r="D1" s="1"/>
      <c r="E1" s="1"/>
      <c r="F1" s="1"/>
      <c r="G1" s="1"/>
      <c r="H1" s="1"/>
      <c r="I1" s="1"/>
    </row>
    <row r="2" customFormat="false" ht="25.5" hidden="false" customHeight="true" outlineLevel="0" collapsed="false">
      <c r="A2" s="3" t="s">
        <v>7</v>
      </c>
      <c r="B2" s="3" t="s">
        <v>111</v>
      </c>
      <c r="C2" s="3" t="s">
        <v>112</v>
      </c>
      <c r="D2" s="3" t="s">
        <v>113</v>
      </c>
      <c r="E2" s="3" t="s">
        <v>114</v>
      </c>
      <c r="F2" s="3" t="s">
        <v>115</v>
      </c>
      <c r="G2" s="3" t="s">
        <v>116</v>
      </c>
      <c r="H2" s="3" t="s">
        <v>117</v>
      </c>
      <c r="I2" s="3" t="s">
        <v>118</v>
      </c>
    </row>
    <row r="3" customFormat="false" ht="15" hidden="false" customHeight="false" outlineLevel="0" collapsed="false">
      <c r="A3" s="7" t="s">
        <v>17</v>
      </c>
      <c r="B3" s="6" t="s">
        <v>18</v>
      </c>
      <c r="C3" s="4" t="s">
        <v>119</v>
      </c>
      <c r="D3" s="8" t="n">
        <v>2369</v>
      </c>
      <c r="E3" s="9" t="n">
        <v>2481</v>
      </c>
      <c r="F3" s="22" t="n">
        <f aca="false">E3-D3</f>
        <v>112</v>
      </c>
      <c r="G3" s="23" t="n">
        <f aca="false">(E3-D3)/D3*100</f>
        <v>4.72773322076826</v>
      </c>
      <c r="H3" s="24" t="s">
        <v>120</v>
      </c>
      <c r="I3" s="25" t="s">
        <v>121</v>
      </c>
    </row>
    <row r="4" customFormat="false" ht="15" hidden="false" customHeight="false" outlineLevel="0" collapsed="false">
      <c r="A4" s="14" t="s">
        <v>20</v>
      </c>
      <c r="B4" s="13" t="s">
        <v>18</v>
      </c>
      <c r="C4" s="11" t="s">
        <v>122</v>
      </c>
      <c r="D4" s="15" t="n">
        <v>2425</v>
      </c>
      <c r="E4" s="16" t="n">
        <v>2488</v>
      </c>
      <c r="F4" s="26" t="n">
        <f aca="false">E4-D4</f>
        <v>63</v>
      </c>
      <c r="G4" s="27" t="n">
        <f aca="false">(E4-D4)/D4*100</f>
        <v>2.5979381443299</v>
      </c>
      <c r="H4" s="24" t="s">
        <v>120</v>
      </c>
      <c r="I4" s="25" t="s">
        <v>121</v>
      </c>
    </row>
    <row r="5" customFormat="false" ht="15" hidden="false" customHeight="false" outlineLevel="0" collapsed="false">
      <c r="A5" s="7" t="s">
        <v>21</v>
      </c>
      <c r="B5" s="6" t="s">
        <v>18</v>
      </c>
      <c r="C5" s="4" t="s">
        <v>119</v>
      </c>
      <c r="D5" s="8" t="n">
        <v>2400</v>
      </c>
      <c r="E5" s="9" t="n">
        <v>2600</v>
      </c>
      <c r="F5" s="22" t="n">
        <f aca="false">E5-D5</f>
        <v>200</v>
      </c>
      <c r="G5" s="23" t="n">
        <f aca="false">(E5-D5)/D5*100</f>
        <v>8.33333333333333</v>
      </c>
      <c r="H5" s="28" t="s">
        <v>123</v>
      </c>
      <c r="I5" s="29" t="s">
        <v>124</v>
      </c>
    </row>
    <row r="6" customFormat="false" ht="15" hidden="false" customHeight="false" outlineLevel="0" collapsed="false">
      <c r="A6" s="14" t="s">
        <v>125</v>
      </c>
      <c r="B6" s="13" t="s">
        <v>18</v>
      </c>
      <c r="C6" s="11" t="s">
        <v>119</v>
      </c>
      <c r="D6" s="15" t="n">
        <v>3699</v>
      </c>
      <c r="E6" s="16" t="n">
        <v>4082</v>
      </c>
      <c r="F6" s="26" t="n">
        <f aca="false">E6-D6</f>
        <v>383</v>
      </c>
      <c r="G6" s="27" t="n">
        <f aca="false">(E6-D6)/D6*100</f>
        <v>10.3541497702082</v>
      </c>
      <c r="H6" s="28" t="s">
        <v>123</v>
      </c>
      <c r="I6" s="29" t="s">
        <v>124</v>
      </c>
    </row>
    <row r="7" customFormat="false" ht="15" hidden="false" customHeight="false" outlineLevel="0" collapsed="false">
      <c r="A7" s="7" t="s">
        <v>23</v>
      </c>
      <c r="B7" s="6" t="s">
        <v>18</v>
      </c>
      <c r="C7" s="4" t="s">
        <v>119</v>
      </c>
      <c r="D7" s="8" t="n">
        <v>2775</v>
      </c>
      <c r="E7" s="9" t="n">
        <v>2331</v>
      </c>
      <c r="F7" s="30" t="n">
        <f aca="false">E7-D7</f>
        <v>-444</v>
      </c>
      <c r="G7" s="31" t="n">
        <f aca="false">(E7-D7)/D7*100</f>
        <v>-16</v>
      </c>
      <c r="H7" s="32" t="s">
        <v>126</v>
      </c>
      <c r="I7" s="33" t="s">
        <v>127</v>
      </c>
    </row>
    <row r="8" customFormat="false" ht="15" hidden="false" customHeight="false" outlineLevel="0" collapsed="false">
      <c r="A8" s="14" t="s">
        <v>24</v>
      </c>
      <c r="B8" s="13" t="s">
        <v>25</v>
      </c>
      <c r="C8" s="11" t="s">
        <v>119</v>
      </c>
      <c r="D8" s="15" t="n">
        <v>8000</v>
      </c>
      <c r="E8" s="16" t="n">
        <v>7360</v>
      </c>
      <c r="F8" s="34" t="n">
        <f aca="false">E8-D8</f>
        <v>-640</v>
      </c>
      <c r="G8" s="35" t="n">
        <f aca="false">(E8-D8)/D8*100</f>
        <v>-8</v>
      </c>
      <c r="H8" s="32" t="s">
        <v>126</v>
      </c>
      <c r="I8" s="33" t="s">
        <v>127</v>
      </c>
    </row>
    <row r="9" customFormat="false" ht="15" hidden="false" customHeight="false" outlineLevel="0" collapsed="false">
      <c r="A9" s="7" t="s">
        <v>26</v>
      </c>
      <c r="B9" s="6" t="s">
        <v>25</v>
      </c>
      <c r="C9" s="4" t="s">
        <v>122</v>
      </c>
      <c r="D9" s="8" t="n">
        <v>5650</v>
      </c>
      <c r="E9" s="9" t="n">
        <v>5681</v>
      </c>
      <c r="F9" s="22" t="n">
        <f aca="false">E9-D9</f>
        <v>31</v>
      </c>
      <c r="G9" s="23" t="n">
        <f aca="false">(E9-D9)/D9*100</f>
        <v>0.548672566371681</v>
      </c>
      <c r="H9" s="24" t="s">
        <v>120</v>
      </c>
      <c r="I9" s="25" t="s">
        <v>121</v>
      </c>
    </row>
    <row r="10" customFormat="false" ht="15" hidden="false" customHeight="false" outlineLevel="0" collapsed="false">
      <c r="A10" s="14" t="s">
        <v>27</v>
      </c>
      <c r="B10" s="13" t="s">
        <v>25</v>
      </c>
      <c r="C10" s="11" t="s">
        <v>119</v>
      </c>
      <c r="D10" s="15" t="n">
        <v>7100</v>
      </c>
      <c r="E10" s="16" t="n">
        <v>11200</v>
      </c>
      <c r="F10" s="26" t="n">
        <f aca="false">E10-D10</f>
        <v>4100</v>
      </c>
      <c r="G10" s="27" t="n">
        <f aca="false">(E10-D10)/D10*100</f>
        <v>57.7464788732394</v>
      </c>
      <c r="H10" s="28" t="s">
        <v>123</v>
      </c>
      <c r="I10" s="29" t="s">
        <v>124</v>
      </c>
    </row>
    <row r="11" customFormat="false" ht="15" hidden="false" customHeight="false" outlineLevel="0" collapsed="false">
      <c r="A11" s="7" t="s">
        <v>28</v>
      </c>
      <c r="B11" s="6" t="s">
        <v>25</v>
      </c>
      <c r="C11" s="4" t="s">
        <v>119</v>
      </c>
      <c r="D11" s="8" t="n">
        <v>8682</v>
      </c>
      <c r="E11" s="9" t="n">
        <v>8100</v>
      </c>
      <c r="F11" s="30" t="n">
        <f aca="false">E11-D11</f>
        <v>-582</v>
      </c>
      <c r="G11" s="31" t="n">
        <f aca="false">(E11-D11)/D11*100</f>
        <v>-6.70352453351762</v>
      </c>
      <c r="H11" s="32" t="s">
        <v>126</v>
      </c>
      <c r="I11" s="33" t="s">
        <v>127</v>
      </c>
    </row>
    <row r="12" customFormat="false" ht="15" hidden="false" customHeight="false" outlineLevel="0" collapsed="false">
      <c r="A12" s="14" t="s">
        <v>29</v>
      </c>
      <c r="B12" s="13" t="s">
        <v>30</v>
      </c>
      <c r="C12" s="11" t="s">
        <v>119</v>
      </c>
      <c r="D12" s="15" t="n">
        <v>7263</v>
      </c>
      <c r="E12" s="16" t="n">
        <v>6376</v>
      </c>
      <c r="F12" s="34" t="n">
        <f aca="false">E12-D12</f>
        <v>-887</v>
      </c>
      <c r="G12" s="35" t="n">
        <f aca="false">(E12-D12)/D12*100</f>
        <v>-12.2125843315434</v>
      </c>
      <c r="H12" s="32" t="s">
        <v>126</v>
      </c>
      <c r="I12" s="33" t="s">
        <v>127</v>
      </c>
    </row>
    <row r="13" customFormat="false" ht="15" hidden="false" customHeight="false" outlineLevel="0" collapsed="false">
      <c r="A13" s="7" t="s">
        <v>31</v>
      </c>
      <c r="B13" s="6" t="s">
        <v>30</v>
      </c>
      <c r="C13" s="4" t="s">
        <v>122</v>
      </c>
      <c r="D13" s="8" t="n">
        <v>5950</v>
      </c>
      <c r="E13" s="9" t="n">
        <v>6114</v>
      </c>
      <c r="F13" s="22" t="n">
        <f aca="false">E13-D13</f>
        <v>164</v>
      </c>
      <c r="G13" s="23" t="n">
        <f aca="false">(E13-D13)/D13*100</f>
        <v>2.7563025210084</v>
      </c>
      <c r="H13" s="24" t="s">
        <v>120</v>
      </c>
      <c r="I13" s="25" t="s">
        <v>121</v>
      </c>
    </row>
    <row r="14" customFormat="false" ht="15" hidden="false" customHeight="false" outlineLevel="0" collapsed="false">
      <c r="A14" s="14" t="s">
        <v>32</v>
      </c>
      <c r="B14" s="13" t="s">
        <v>30</v>
      </c>
      <c r="C14" s="11" t="s">
        <v>119</v>
      </c>
      <c r="D14" s="15" t="n">
        <v>5328</v>
      </c>
      <c r="E14" s="16" t="n">
        <v>4798</v>
      </c>
      <c r="F14" s="34" t="n">
        <f aca="false">E14-D14</f>
        <v>-530</v>
      </c>
      <c r="G14" s="35" t="n">
        <f aca="false">(E14-D14)/D14*100</f>
        <v>-9.94744744744745</v>
      </c>
      <c r="H14" s="32" t="s">
        <v>126</v>
      </c>
      <c r="I14" s="33" t="s">
        <v>127</v>
      </c>
    </row>
    <row r="15" customFormat="false" ht="15" hidden="false" customHeight="false" outlineLevel="0" collapsed="false">
      <c r="A15" s="7" t="s">
        <v>33</v>
      </c>
      <c r="B15" s="6" t="s">
        <v>30</v>
      </c>
      <c r="C15" s="4" t="s">
        <v>119</v>
      </c>
      <c r="D15" s="8" t="n">
        <v>7280</v>
      </c>
      <c r="E15" s="9" t="n">
        <v>7281</v>
      </c>
      <c r="F15" s="22" t="n">
        <f aca="false">E15-D15</f>
        <v>1</v>
      </c>
      <c r="G15" s="23" t="n">
        <f aca="false">(E15-D15)/D15*100</f>
        <v>0.0137362637362637</v>
      </c>
      <c r="H15" s="24" t="s">
        <v>120</v>
      </c>
      <c r="I15" s="25" t="s">
        <v>121</v>
      </c>
    </row>
    <row r="16" customFormat="false" ht="15" hidden="false" customHeight="false" outlineLevel="0" collapsed="false">
      <c r="A16" s="14" t="s">
        <v>128</v>
      </c>
      <c r="B16" s="13" t="s">
        <v>129</v>
      </c>
      <c r="C16" s="11" t="s">
        <v>119</v>
      </c>
      <c r="D16" s="15" t="n">
        <v>7710</v>
      </c>
      <c r="E16" s="16" t="n">
        <v>7435</v>
      </c>
      <c r="F16" s="34" t="n">
        <f aca="false">E16-D16</f>
        <v>-275</v>
      </c>
      <c r="G16" s="35" t="n">
        <f aca="false">(E16-D16)/D16*100</f>
        <v>-3.56679636835279</v>
      </c>
      <c r="H16" s="24" t="s">
        <v>130</v>
      </c>
      <c r="I16" s="25" t="s">
        <v>131</v>
      </c>
    </row>
    <row r="17" customFormat="false" ht="15" hidden="false" customHeight="false" outlineLevel="0" collapsed="false">
      <c r="A17" s="7" t="s">
        <v>132</v>
      </c>
      <c r="B17" s="6" t="s">
        <v>30</v>
      </c>
      <c r="C17" s="4" t="s">
        <v>119</v>
      </c>
      <c r="D17" s="8" t="n">
        <v>12100</v>
      </c>
      <c r="E17" s="9" t="n">
        <v>23000</v>
      </c>
      <c r="F17" s="22" t="n">
        <f aca="false">E17-D17</f>
        <v>10900</v>
      </c>
      <c r="G17" s="23" t="n">
        <f aca="false">(E17-D17)/D17*100</f>
        <v>90.0826446280992</v>
      </c>
      <c r="H17" s="28" t="s">
        <v>123</v>
      </c>
      <c r="I17" s="29" t="s">
        <v>124</v>
      </c>
    </row>
  </sheetData>
  <mergeCells count="1">
    <mergeCell ref="A1:I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2"/>
    <col collapsed="false" customWidth="true" hidden="false" outlineLevel="0" max="3" min="3" style="0" width="10"/>
    <col collapsed="false" customWidth="true" hidden="false" outlineLevel="0" max="6" min="4" style="0" width="16"/>
    <col collapsed="false" customWidth="true" hidden="false" outlineLevel="0" max="8" min="7" style="0" width="14"/>
    <col collapsed="false" customWidth="true" hidden="false" outlineLevel="0" max="9" min="9" style="0" width="10"/>
  </cols>
  <sheetData>
    <row r="1" customFormat="false" ht="30" hidden="false" customHeight="true" outlineLevel="0" collapsed="false">
      <c r="A1" s="1" t="s">
        <v>133</v>
      </c>
      <c r="B1" s="1"/>
      <c r="C1" s="1"/>
      <c r="D1" s="1"/>
      <c r="E1" s="1"/>
      <c r="F1" s="1"/>
      <c r="G1" s="1"/>
      <c r="H1" s="1"/>
      <c r="I1" s="1"/>
    </row>
    <row r="2" customFormat="false" ht="25.5" hidden="false" customHeight="true" outlineLevel="0" collapsed="false">
      <c r="A2" s="3" t="s">
        <v>4</v>
      </c>
      <c r="B2" s="3" t="s">
        <v>7</v>
      </c>
      <c r="C2" s="3" t="s">
        <v>134</v>
      </c>
      <c r="D2" s="3" t="s">
        <v>135</v>
      </c>
      <c r="E2" s="3" t="s">
        <v>136</v>
      </c>
      <c r="F2" s="3" t="s">
        <v>137</v>
      </c>
      <c r="G2" s="3" t="s">
        <v>138</v>
      </c>
      <c r="H2" s="3" t="s">
        <v>139</v>
      </c>
      <c r="I2" s="3" t="s">
        <v>140</v>
      </c>
    </row>
    <row r="3" customFormat="false" ht="15" hidden="false" customHeight="false" outlineLevel="0" collapsed="false">
      <c r="A3" s="7" t="s">
        <v>141</v>
      </c>
      <c r="B3" s="6" t="s">
        <v>107</v>
      </c>
      <c r="C3" s="4" t="s">
        <v>75</v>
      </c>
      <c r="D3" s="9" t="n">
        <v>66147</v>
      </c>
      <c r="E3" s="8" t="n">
        <v>63637</v>
      </c>
      <c r="F3" s="8" t="n">
        <v>47500</v>
      </c>
      <c r="G3" s="36" t="n">
        <f aca="false">(D3-E3)/E3</f>
        <v>0.03944246271823</v>
      </c>
      <c r="H3" s="36" t="n">
        <f aca="false">(D3-F3)/F3</f>
        <v>0.392568421052632</v>
      </c>
      <c r="I3" s="4" t="s">
        <v>142</v>
      </c>
    </row>
    <row r="4" customFormat="false" ht="15" hidden="false" customHeight="false" outlineLevel="0" collapsed="false">
      <c r="A4" s="14" t="s">
        <v>14</v>
      </c>
      <c r="B4" s="13" t="s">
        <v>107</v>
      </c>
      <c r="C4" s="11" t="s">
        <v>75</v>
      </c>
      <c r="D4" s="16" t="n">
        <v>37820</v>
      </c>
      <c r="E4" s="15" t="n">
        <v>37979</v>
      </c>
      <c r="F4" s="15" t="n">
        <v>40046</v>
      </c>
      <c r="G4" s="37" t="n">
        <f aca="false">(D4-E4)/E4</f>
        <v>-0.00418652413175702</v>
      </c>
      <c r="H4" s="37" t="n">
        <f aca="false">(D4-F4)/F4</f>
        <v>-0.0555860760125855</v>
      </c>
      <c r="I4" s="11" t="s">
        <v>142</v>
      </c>
    </row>
    <row r="5" customFormat="false" ht="15" hidden="false" customHeight="false" outlineLevel="0" collapsed="false">
      <c r="A5" s="7" t="s">
        <v>143</v>
      </c>
      <c r="B5" s="6" t="s">
        <v>107</v>
      </c>
      <c r="C5" s="4" t="s">
        <v>75</v>
      </c>
      <c r="D5" s="9" t="n">
        <v>33645</v>
      </c>
      <c r="E5" s="8" t="n">
        <v>33514</v>
      </c>
      <c r="F5" s="8" t="n">
        <v>36061</v>
      </c>
      <c r="G5" s="36" t="n">
        <f aca="false">(D5-E5)/E5</f>
        <v>0.00390881422689026</v>
      </c>
      <c r="H5" s="36" t="n">
        <f aca="false">(D5-F5)/F5</f>
        <v>-0.0669975874213139</v>
      </c>
      <c r="I5" s="4" t="s">
        <v>142</v>
      </c>
    </row>
    <row r="6" customFormat="false" ht="15" hidden="false" customHeight="false" outlineLevel="0" collapsed="false">
      <c r="A6" s="14" t="s">
        <v>144</v>
      </c>
      <c r="B6" s="13" t="s">
        <v>107</v>
      </c>
      <c r="C6" s="11" t="s">
        <v>75</v>
      </c>
      <c r="D6" s="16" t="n">
        <v>31949</v>
      </c>
      <c r="E6" s="15" t="n">
        <v>29758</v>
      </c>
      <c r="F6" s="15" t="n">
        <v>32585</v>
      </c>
      <c r="G6" s="37" t="n">
        <f aca="false">(D6-E6)/E6</f>
        <v>0.0736272598964984</v>
      </c>
      <c r="H6" s="37" t="n">
        <f aca="false">(D6-F6)/F6</f>
        <v>-0.0195181832131349</v>
      </c>
      <c r="I6" s="11" t="s">
        <v>145</v>
      </c>
    </row>
    <row r="7" customFormat="false" ht="15" hidden="false" customHeight="false" outlineLevel="0" collapsed="false">
      <c r="A7" s="7" t="s">
        <v>146</v>
      </c>
      <c r="B7" s="6" t="s">
        <v>107</v>
      </c>
      <c r="C7" s="4" t="s">
        <v>75</v>
      </c>
      <c r="D7" s="9" t="n">
        <v>12123</v>
      </c>
      <c r="E7" s="8" t="n">
        <v>11510</v>
      </c>
      <c r="F7" s="8" t="n">
        <v>16278</v>
      </c>
      <c r="G7" s="36" t="n">
        <f aca="false">(D7-E7)/E7</f>
        <v>0.0532580364900087</v>
      </c>
      <c r="H7" s="36" t="n">
        <f aca="false">(D7-F7)/F7</f>
        <v>-0.255252488020641</v>
      </c>
      <c r="I7" s="4" t="s">
        <v>147</v>
      </c>
    </row>
    <row r="8" customFormat="false" ht="15" hidden="false" customHeight="false" outlineLevel="0" collapsed="false">
      <c r="A8" s="14" t="s">
        <v>148</v>
      </c>
      <c r="B8" s="13" t="s">
        <v>107</v>
      </c>
      <c r="C8" s="11" t="s">
        <v>75</v>
      </c>
      <c r="D8" s="16" t="n">
        <v>2600</v>
      </c>
      <c r="E8" s="15" t="n">
        <v>2282</v>
      </c>
      <c r="F8" s="15" t="n">
        <v>2600</v>
      </c>
      <c r="G8" s="37" t="n">
        <f aca="false">(D8-E8)/E8</f>
        <v>0.139351446099912</v>
      </c>
      <c r="H8" s="37" t="n">
        <f aca="false">(D8-F8)/F8</f>
        <v>0</v>
      </c>
      <c r="I8" s="11" t="s">
        <v>147</v>
      </c>
    </row>
    <row r="9" customFormat="false" ht="15" hidden="false" customHeight="false" outlineLevel="0" collapsed="false">
      <c r="A9" s="7" t="s">
        <v>141</v>
      </c>
      <c r="B9" s="6" t="s">
        <v>107</v>
      </c>
      <c r="C9" s="4" t="s">
        <v>149</v>
      </c>
      <c r="D9" s="9" t="n">
        <v>63637</v>
      </c>
      <c r="E9" s="8" t="n">
        <v>60200</v>
      </c>
      <c r="F9" s="8" t="n">
        <v>44800</v>
      </c>
      <c r="G9" s="36" t="n">
        <f aca="false">(D9-E9)/E9</f>
        <v>0.057093023255814</v>
      </c>
      <c r="H9" s="36" t="n">
        <f aca="false">(D9-F9)/F9</f>
        <v>0.42046875</v>
      </c>
      <c r="I9" s="4" t="s">
        <v>142</v>
      </c>
    </row>
    <row r="10" customFormat="false" ht="15" hidden="false" customHeight="false" outlineLevel="0" collapsed="false">
      <c r="A10" s="14" t="s">
        <v>14</v>
      </c>
      <c r="B10" s="13" t="s">
        <v>107</v>
      </c>
      <c r="C10" s="11" t="s">
        <v>149</v>
      </c>
      <c r="D10" s="16" t="n">
        <v>37979</v>
      </c>
      <c r="E10" s="15" t="n">
        <v>38200</v>
      </c>
      <c r="F10" s="15" t="n">
        <v>41100</v>
      </c>
      <c r="G10" s="37" t="n">
        <f aca="false">(D10-E10)/E10</f>
        <v>-0.00578534031413613</v>
      </c>
      <c r="H10" s="37" t="n">
        <f aca="false">(D10-F10)/F10</f>
        <v>-0.0759367396593674</v>
      </c>
      <c r="I10" s="11" t="s">
        <v>142</v>
      </c>
    </row>
    <row r="11" customFormat="false" ht="15" hidden="false" customHeight="false" outlineLevel="0" collapsed="false">
      <c r="A11" s="7" t="s">
        <v>143</v>
      </c>
      <c r="B11" s="6" t="s">
        <v>107</v>
      </c>
      <c r="C11" s="4" t="s">
        <v>149</v>
      </c>
      <c r="D11" s="9" t="n">
        <v>33514</v>
      </c>
      <c r="E11" s="8" t="n">
        <v>33100</v>
      </c>
      <c r="F11" s="8" t="n">
        <v>36800</v>
      </c>
      <c r="G11" s="36" t="n">
        <f aca="false">(D11-E11)/E11</f>
        <v>0.0125075528700906</v>
      </c>
      <c r="H11" s="36" t="n">
        <f aca="false">(D11-F11)/F11</f>
        <v>-0.0892934782608696</v>
      </c>
      <c r="I11" s="4" t="s">
        <v>142</v>
      </c>
    </row>
    <row r="12" customFormat="false" ht="15" hidden="false" customHeight="false" outlineLevel="0" collapsed="false">
      <c r="A12" s="14" t="s">
        <v>144</v>
      </c>
      <c r="B12" s="13" t="s">
        <v>107</v>
      </c>
      <c r="C12" s="11" t="s">
        <v>149</v>
      </c>
      <c r="D12" s="16" t="n">
        <v>29758</v>
      </c>
      <c r="E12" s="15" t="n">
        <v>28900</v>
      </c>
      <c r="F12" s="15" t="n">
        <v>31200</v>
      </c>
      <c r="G12" s="37" t="n">
        <f aca="false">(D12-E12)/E12</f>
        <v>0.0296885813148789</v>
      </c>
      <c r="H12" s="37" t="n">
        <f aca="false">(D12-F12)/F12</f>
        <v>-0.0462179487179487</v>
      </c>
      <c r="I12" s="11" t="s">
        <v>145</v>
      </c>
    </row>
    <row r="13" customFormat="false" ht="15" hidden="false" customHeight="false" outlineLevel="0" collapsed="false">
      <c r="A13" s="7" t="s">
        <v>146</v>
      </c>
      <c r="B13" s="6" t="s">
        <v>107</v>
      </c>
      <c r="C13" s="4" t="s">
        <v>149</v>
      </c>
      <c r="D13" s="9" t="n">
        <v>11510</v>
      </c>
      <c r="E13" s="8" t="n">
        <v>10900</v>
      </c>
      <c r="F13" s="8" t="n">
        <v>15200</v>
      </c>
      <c r="G13" s="36" t="n">
        <f aca="false">(D13-E13)/E13</f>
        <v>0.0559633027522936</v>
      </c>
      <c r="H13" s="36" t="n">
        <f aca="false">(D13-F13)/F13</f>
        <v>-0.242763157894737</v>
      </c>
      <c r="I13" s="4" t="s">
        <v>147</v>
      </c>
    </row>
    <row r="14" customFormat="false" ht="15" hidden="false" customHeight="false" outlineLevel="0" collapsed="false">
      <c r="A14" s="14" t="s">
        <v>148</v>
      </c>
      <c r="B14" s="13" t="s">
        <v>107</v>
      </c>
      <c r="C14" s="11" t="s">
        <v>149</v>
      </c>
      <c r="D14" s="16" t="n">
        <v>2282</v>
      </c>
      <c r="E14" s="15" t="n">
        <v>2100</v>
      </c>
      <c r="F14" s="15" t="n">
        <v>2400</v>
      </c>
      <c r="G14" s="37" t="n">
        <f aca="false">(D14-E14)/E14</f>
        <v>0.0866666666666667</v>
      </c>
      <c r="H14" s="37" t="n">
        <f aca="false">(D14-F14)/F14</f>
        <v>-0.0491666666666667</v>
      </c>
      <c r="I14" s="11" t="s">
        <v>147</v>
      </c>
    </row>
  </sheetData>
  <mergeCells count="1">
    <mergeCell ref="A1:I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4"/>
    <col collapsed="false" customWidth="true" hidden="false" outlineLevel="0" max="3" min="3" style="0" width="12"/>
    <col collapsed="false" customWidth="true" hidden="false" outlineLevel="0" max="4" min="4" style="0" width="18"/>
    <col collapsed="false" customWidth="true" hidden="false" outlineLevel="0" max="8" min="5" style="0" width="14"/>
  </cols>
  <sheetData>
    <row r="1" customFormat="false" ht="30" hidden="false" customHeight="true" outlineLevel="0" collapsed="false">
      <c r="A1" s="1" t="s">
        <v>150</v>
      </c>
      <c r="B1" s="1"/>
      <c r="C1" s="1"/>
      <c r="D1" s="1"/>
      <c r="E1" s="1"/>
      <c r="F1" s="1"/>
      <c r="G1" s="1"/>
      <c r="H1" s="1"/>
    </row>
    <row r="2" customFormat="false" ht="25.5" hidden="false" customHeight="true" outlineLevel="0" collapsed="false">
      <c r="A2" s="3" t="s">
        <v>151</v>
      </c>
      <c r="B2" s="3" t="s">
        <v>7</v>
      </c>
      <c r="C2" s="3" t="s">
        <v>152</v>
      </c>
      <c r="D2" s="3" t="s">
        <v>153</v>
      </c>
      <c r="E2" s="3" t="s">
        <v>154</v>
      </c>
      <c r="F2" s="3" t="s">
        <v>155</v>
      </c>
      <c r="G2" s="3" t="s">
        <v>156</v>
      </c>
      <c r="H2" s="3" t="s">
        <v>157</v>
      </c>
    </row>
    <row r="3" customFormat="false" ht="15" hidden="false" customHeight="false" outlineLevel="0" collapsed="false">
      <c r="A3" s="5" t="n">
        <v>46196</v>
      </c>
      <c r="B3" s="7" t="s">
        <v>74</v>
      </c>
      <c r="C3" s="4" t="s">
        <v>158</v>
      </c>
      <c r="D3" s="9" t="n">
        <v>2489</v>
      </c>
      <c r="E3" s="8" t="n">
        <v>2448</v>
      </c>
      <c r="F3" s="8" t="n">
        <v>2530</v>
      </c>
      <c r="G3" s="38" t="s">
        <v>159</v>
      </c>
      <c r="H3" s="39" t="n">
        <v>120</v>
      </c>
    </row>
    <row r="4" customFormat="false" ht="15" hidden="false" customHeight="false" outlineLevel="0" collapsed="false">
      <c r="A4" s="12" t="n">
        <v>46196</v>
      </c>
      <c r="B4" s="14" t="s">
        <v>20</v>
      </c>
      <c r="C4" s="11" t="s">
        <v>158</v>
      </c>
      <c r="D4" s="16" t="n">
        <v>2486</v>
      </c>
      <c r="E4" s="15" t="n">
        <v>2452</v>
      </c>
      <c r="F4" s="15" t="n">
        <v>2520</v>
      </c>
      <c r="G4" s="40" t="s">
        <v>160</v>
      </c>
      <c r="H4" s="41" t="n">
        <v>61</v>
      </c>
    </row>
    <row r="5" customFormat="false" ht="15" hidden="false" customHeight="false" outlineLevel="0" collapsed="false">
      <c r="A5" s="5" t="n">
        <v>46196</v>
      </c>
      <c r="B5" s="7" t="s">
        <v>21</v>
      </c>
      <c r="C5" s="4" t="s">
        <v>158</v>
      </c>
      <c r="D5" s="9" t="n">
        <v>2614</v>
      </c>
      <c r="E5" s="8" t="n">
        <v>2560</v>
      </c>
      <c r="F5" s="8" t="n">
        <v>2668</v>
      </c>
      <c r="G5" s="38" t="s">
        <v>159</v>
      </c>
      <c r="H5" s="39" t="n">
        <v>214</v>
      </c>
    </row>
    <row r="6" customFormat="false" ht="15" hidden="false" customHeight="false" outlineLevel="0" collapsed="false">
      <c r="A6" s="12" t="n">
        <v>46196</v>
      </c>
      <c r="B6" s="14" t="s">
        <v>38</v>
      </c>
      <c r="C6" s="11" t="s">
        <v>158</v>
      </c>
      <c r="D6" s="16" t="n">
        <v>1612</v>
      </c>
      <c r="E6" s="15" t="n">
        <v>1450</v>
      </c>
      <c r="F6" s="15" t="n">
        <v>1774</v>
      </c>
      <c r="G6" s="40" t="s">
        <v>160</v>
      </c>
      <c r="H6" s="11" t="s">
        <v>161</v>
      </c>
    </row>
    <row r="7" customFormat="false" ht="15" hidden="false" customHeight="false" outlineLevel="0" collapsed="false">
      <c r="A7" s="5" t="n">
        <v>46196</v>
      </c>
      <c r="B7" s="7" t="s">
        <v>40</v>
      </c>
      <c r="C7" s="4" t="s">
        <v>158</v>
      </c>
      <c r="D7" s="9" t="n">
        <v>2188</v>
      </c>
      <c r="E7" s="8" t="n">
        <v>2080</v>
      </c>
      <c r="F7" s="8" t="n">
        <v>2296</v>
      </c>
      <c r="G7" s="38" t="s">
        <v>159</v>
      </c>
      <c r="H7" s="4" t="s">
        <v>161</v>
      </c>
    </row>
    <row r="8" customFormat="false" ht="15" hidden="false" customHeight="false" outlineLevel="0" collapsed="false">
      <c r="A8" s="12" t="n">
        <v>46196</v>
      </c>
      <c r="B8" s="14" t="s">
        <v>31</v>
      </c>
      <c r="C8" s="11" t="s">
        <v>158</v>
      </c>
      <c r="D8" s="16" t="n">
        <v>6106</v>
      </c>
      <c r="E8" s="15" t="n">
        <v>6020</v>
      </c>
      <c r="F8" s="15" t="n">
        <v>6192</v>
      </c>
      <c r="G8" s="40" t="s">
        <v>160</v>
      </c>
      <c r="H8" s="41" t="n">
        <v>156</v>
      </c>
    </row>
    <row r="9" customFormat="false" ht="15" hidden="false" customHeight="false" outlineLevel="0" collapsed="false">
      <c r="A9" s="5" t="n">
        <v>46196</v>
      </c>
      <c r="B9" s="7" t="s">
        <v>36</v>
      </c>
      <c r="C9" s="4" t="s">
        <v>158</v>
      </c>
      <c r="D9" s="9" t="n">
        <v>7504</v>
      </c>
      <c r="E9" s="8" t="n">
        <v>7405</v>
      </c>
      <c r="F9" s="8" t="n">
        <v>7603</v>
      </c>
      <c r="G9" s="38" t="s">
        <v>159</v>
      </c>
      <c r="H9" s="42" t="n">
        <v>-206</v>
      </c>
    </row>
    <row r="10" customFormat="false" ht="15" hidden="false" customHeight="false" outlineLevel="0" collapsed="false">
      <c r="A10" s="12" t="n">
        <v>46196</v>
      </c>
      <c r="B10" s="14" t="s">
        <v>34</v>
      </c>
      <c r="C10" s="11" t="s">
        <v>158</v>
      </c>
      <c r="D10" s="16" t="n">
        <v>23118</v>
      </c>
      <c r="E10" s="15" t="n">
        <v>22776</v>
      </c>
      <c r="F10" s="15" t="n">
        <v>23460</v>
      </c>
      <c r="G10" s="40" t="s">
        <v>160</v>
      </c>
      <c r="H10" s="41" t="n">
        <v>11018</v>
      </c>
    </row>
    <row r="11" customFormat="false" ht="15" hidden="false" customHeight="false" outlineLevel="0" collapsed="false">
      <c r="A11" s="5" t="n">
        <v>46197</v>
      </c>
      <c r="B11" s="7" t="s">
        <v>74</v>
      </c>
      <c r="C11" s="4" t="s">
        <v>158</v>
      </c>
      <c r="D11" s="9" t="n">
        <v>2471</v>
      </c>
      <c r="E11" s="8" t="n">
        <v>2430</v>
      </c>
      <c r="F11" s="8" t="n">
        <v>2512</v>
      </c>
      <c r="G11" s="38" t="s">
        <v>159</v>
      </c>
      <c r="H11" s="39" t="n">
        <v>102</v>
      </c>
    </row>
    <row r="12" customFormat="false" ht="15" hidden="false" customHeight="false" outlineLevel="0" collapsed="false">
      <c r="A12" s="12" t="n">
        <v>46197</v>
      </c>
      <c r="B12" s="14" t="s">
        <v>20</v>
      </c>
      <c r="C12" s="11" t="s">
        <v>158</v>
      </c>
      <c r="D12" s="16" t="n">
        <v>2497</v>
      </c>
      <c r="E12" s="15" t="n">
        <v>2463</v>
      </c>
      <c r="F12" s="15" t="n">
        <v>2531</v>
      </c>
      <c r="G12" s="40" t="s">
        <v>160</v>
      </c>
      <c r="H12" s="41" t="n">
        <v>72</v>
      </c>
    </row>
    <row r="13" customFormat="false" ht="15" hidden="false" customHeight="false" outlineLevel="0" collapsed="false">
      <c r="A13" s="5" t="n">
        <v>46197</v>
      </c>
      <c r="B13" s="7" t="s">
        <v>21</v>
      </c>
      <c r="C13" s="4" t="s">
        <v>158</v>
      </c>
      <c r="D13" s="9" t="n">
        <v>2586</v>
      </c>
      <c r="E13" s="8" t="n">
        <v>2532</v>
      </c>
      <c r="F13" s="8" t="n">
        <v>2640</v>
      </c>
      <c r="G13" s="38" t="s">
        <v>159</v>
      </c>
      <c r="H13" s="39" t="n">
        <v>186</v>
      </c>
    </row>
    <row r="14" customFormat="false" ht="15" hidden="false" customHeight="false" outlineLevel="0" collapsed="false">
      <c r="A14" s="12" t="n">
        <v>46197</v>
      </c>
      <c r="B14" s="14" t="s">
        <v>38</v>
      </c>
      <c r="C14" s="11" t="s">
        <v>158</v>
      </c>
      <c r="D14" s="16" t="n">
        <v>1471</v>
      </c>
      <c r="E14" s="15" t="n">
        <v>1309</v>
      </c>
      <c r="F14" s="15" t="n">
        <v>1633</v>
      </c>
      <c r="G14" s="40" t="s">
        <v>160</v>
      </c>
      <c r="H14" s="11" t="s">
        <v>161</v>
      </c>
    </row>
    <row r="15" customFormat="false" ht="15" hidden="false" customHeight="false" outlineLevel="0" collapsed="false">
      <c r="A15" s="5" t="n">
        <v>46197</v>
      </c>
      <c r="B15" s="7" t="s">
        <v>40</v>
      </c>
      <c r="C15" s="4" t="s">
        <v>158</v>
      </c>
      <c r="D15" s="9" t="n">
        <v>2211</v>
      </c>
      <c r="E15" s="8" t="n">
        <v>2103</v>
      </c>
      <c r="F15" s="8" t="n">
        <v>2319</v>
      </c>
      <c r="G15" s="38" t="s">
        <v>159</v>
      </c>
      <c r="H15" s="4" t="s">
        <v>161</v>
      </c>
    </row>
    <row r="16" customFormat="false" ht="15" hidden="false" customHeight="false" outlineLevel="0" collapsed="false">
      <c r="A16" s="12" t="n">
        <v>46197</v>
      </c>
      <c r="B16" s="14" t="s">
        <v>31</v>
      </c>
      <c r="C16" s="11" t="s">
        <v>158</v>
      </c>
      <c r="D16" s="16" t="n">
        <v>6043</v>
      </c>
      <c r="E16" s="15" t="n">
        <v>5958</v>
      </c>
      <c r="F16" s="15" t="n">
        <v>6128</v>
      </c>
      <c r="G16" s="40" t="s">
        <v>160</v>
      </c>
      <c r="H16" s="41" t="n">
        <v>93</v>
      </c>
    </row>
    <row r="17" customFormat="false" ht="15" hidden="false" customHeight="false" outlineLevel="0" collapsed="false">
      <c r="A17" s="5" t="n">
        <v>46197</v>
      </c>
      <c r="B17" s="7" t="s">
        <v>36</v>
      </c>
      <c r="C17" s="4" t="s">
        <v>158</v>
      </c>
      <c r="D17" s="9" t="n">
        <v>7359</v>
      </c>
      <c r="E17" s="8" t="n">
        <v>7260</v>
      </c>
      <c r="F17" s="8" t="n">
        <v>7458</v>
      </c>
      <c r="G17" s="38" t="s">
        <v>159</v>
      </c>
      <c r="H17" s="42" t="n">
        <v>-351</v>
      </c>
    </row>
    <row r="18" customFormat="false" ht="15" hidden="false" customHeight="false" outlineLevel="0" collapsed="false">
      <c r="A18" s="12" t="n">
        <v>46197</v>
      </c>
      <c r="B18" s="14" t="s">
        <v>34</v>
      </c>
      <c r="C18" s="11" t="s">
        <v>158</v>
      </c>
      <c r="D18" s="16" t="n">
        <v>22918</v>
      </c>
      <c r="E18" s="15" t="n">
        <v>22576</v>
      </c>
      <c r="F18" s="15" t="n">
        <v>23260</v>
      </c>
      <c r="G18" s="40" t="s">
        <v>160</v>
      </c>
      <c r="H18" s="41" t="n">
        <v>10818</v>
      </c>
    </row>
    <row r="19" customFormat="false" ht="15" hidden="false" customHeight="false" outlineLevel="0" collapsed="false">
      <c r="A19" s="5" t="n">
        <v>46198</v>
      </c>
      <c r="B19" s="7" t="s">
        <v>74</v>
      </c>
      <c r="C19" s="4" t="s">
        <v>158</v>
      </c>
      <c r="D19" s="9" t="n">
        <v>2460</v>
      </c>
      <c r="E19" s="8" t="n">
        <v>2420</v>
      </c>
      <c r="F19" s="8" t="n">
        <v>2500</v>
      </c>
      <c r="G19" s="38" t="s">
        <v>159</v>
      </c>
      <c r="H19" s="39" t="n">
        <v>91</v>
      </c>
    </row>
    <row r="20" customFormat="false" ht="15" hidden="false" customHeight="false" outlineLevel="0" collapsed="false">
      <c r="A20" s="12" t="n">
        <v>46198</v>
      </c>
      <c r="B20" s="14" t="s">
        <v>20</v>
      </c>
      <c r="C20" s="11" t="s">
        <v>158</v>
      </c>
      <c r="D20" s="16" t="n">
        <v>2494</v>
      </c>
      <c r="E20" s="15" t="n">
        <v>2460</v>
      </c>
      <c r="F20" s="15" t="n">
        <v>2528</v>
      </c>
      <c r="G20" s="40" t="s">
        <v>160</v>
      </c>
      <c r="H20" s="41" t="n">
        <v>69</v>
      </c>
    </row>
    <row r="21" customFormat="false" ht="15" hidden="false" customHeight="false" outlineLevel="0" collapsed="false">
      <c r="A21" s="5" t="n">
        <v>46198</v>
      </c>
      <c r="B21" s="7" t="s">
        <v>21</v>
      </c>
      <c r="C21" s="4" t="s">
        <v>158</v>
      </c>
      <c r="D21" s="9" t="n">
        <v>2575</v>
      </c>
      <c r="E21" s="8" t="n">
        <v>2521</v>
      </c>
      <c r="F21" s="8" t="n">
        <v>2629</v>
      </c>
      <c r="G21" s="38" t="s">
        <v>159</v>
      </c>
      <c r="H21" s="39" t="n">
        <v>175</v>
      </c>
    </row>
    <row r="22" customFormat="false" ht="15" hidden="false" customHeight="false" outlineLevel="0" collapsed="false">
      <c r="A22" s="12" t="n">
        <v>46198</v>
      </c>
      <c r="B22" s="14" t="s">
        <v>38</v>
      </c>
      <c r="C22" s="11" t="s">
        <v>158</v>
      </c>
      <c r="D22" s="16" t="n">
        <v>1405</v>
      </c>
      <c r="E22" s="15" t="n">
        <v>1243</v>
      </c>
      <c r="F22" s="15" t="n">
        <v>1567</v>
      </c>
      <c r="G22" s="40" t="s">
        <v>160</v>
      </c>
      <c r="H22" s="11" t="s">
        <v>161</v>
      </c>
    </row>
    <row r="23" customFormat="false" ht="15" hidden="false" customHeight="false" outlineLevel="0" collapsed="false">
      <c r="A23" s="5" t="n">
        <v>46198</v>
      </c>
      <c r="B23" s="7" t="s">
        <v>40</v>
      </c>
      <c r="C23" s="4" t="s">
        <v>158</v>
      </c>
      <c r="D23" s="9" t="n">
        <v>2269</v>
      </c>
      <c r="E23" s="8" t="n">
        <v>2161</v>
      </c>
      <c r="F23" s="8" t="n">
        <v>2377</v>
      </c>
      <c r="G23" s="38" t="s">
        <v>159</v>
      </c>
      <c r="H23" s="4" t="s">
        <v>161</v>
      </c>
    </row>
    <row r="24" customFormat="false" ht="15" hidden="false" customHeight="false" outlineLevel="0" collapsed="false">
      <c r="A24" s="12" t="n">
        <v>46198</v>
      </c>
      <c r="B24" s="14" t="s">
        <v>31</v>
      </c>
      <c r="C24" s="11" t="s">
        <v>158</v>
      </c>
      <c r="D24" s="16" t="n">
        <v>6108</v>
      </c>
      <c r="E24" s="15" t="n">
        <v>6022</v>
      </c>
      <c r="F24" s="15" t="n">
        <v>6194</v>
      </c>
      <c r="G24" s="40" t="s">
        <v>160</v>
      </c>
      <c r="H24" s="41" t="n">
        <v>158</v>
      </c>
    </row>
    <row r="25" customFormat="false" ht="15" hidden="false" customHeight="false" outlineLevel="0" collapsed="false">
      <c r="A25" s="5" t="n">
        <v>46198</v>
      </c>
      <c r="B25" s="7" t="s">
        <v>36</v>
      </c>
      <c r="C25" s="4" t="s">
        <v>158</v>
      </c>
      <c r="D25" s="9" t="n">
        <v>7437</v>
      </c>
      <c r="E25" s="8" t="n">
        <v>7338</v>
      </c>
      <c r="F25" s="8" t="n">
        <v>7536</v>
      </c>
      <c r="G25" s="38" t="s">
        <v>159</v>
      </c>
      <c r="H25" s="42" t="n">
        <v>-273</v>
      </c>
    </row>
    <row r="26" customFormat="false" ht="15" hidden="false" customHeight="false" outlineLevel="0" collapsed="false">
      <c r="A26" s="12" t="n">
        <v>46198</v>
      </c>
      <c r="B26" s="14" t="s">
        <v>34</v>
      </c>
      <c r="C26" s="11" t="s">
        <v>158</v>
      </c>
      <c r="D26" s="16" t="n">
        <v>22788</v>
      </c>
      <c r="E26" s="15" t="n">
        <v>22446</v>
      </c>
      <c r="F26" s="15" t="n">
        <v>23130</v>
      </c>
      <c r="G26" s="40" t="s">
        <v>160</v>
      </c>
      <c r="H26" s="41" t="n">
        <v>10688</v>
      </c>
    </row>
    <row r="27" customFormat="false" ht="15" hidden="false" customHeight="false" outlineLevel="0" collapsed="false">
      <c r="A27" s="5" t="n">
        <v>46199</v>
      </c>
      <c r="B27" s="7" t="s">
        <v>74</v>
      </c>
      <c r="C27" s="4" t="s">
        <v>158</v>
      </c>
      <c r="D27" s="9" t="n">
        <v>2468</v>
      </c>
      <c r="E27" s="8" t="n">
        <v>2428</v>
      </c>
      <c r="F27" s="8" t="n">
        <v>2508</v>
      </c>
      <c r="G27" s="38" t="s">
        <v>159</v>
      </c>
      <c r="H27" s="39" t="n">
        <v>99</v>
      </c>
    </row>
    <row r="28" customFormat="false" ht="15" hidden="false" customHeight="false" outlineLevel="0" collapsed="false">
      <c r="A28" s="12" t="n">
        <v>46199</v>
      </c>
      <c r="B28" s="14" t="s">
        <v>20</v>
      </c>
      <c r="C28" s="11" t="s">
        <v>158</v>
      </c>
      <c r="D28" s="16" t="n">
        <v>2492</v>
      </c>
      <c r="E28" s="15" t="n">
        <v>2458</v>
      </c>
      <c r="F28" s="15" t="n">
        <v>2526</v>
      </c>
      <c r="G28" s="40" t="s">
        <v>160</v>
      </c>
      <c r="H28" s="41" t="n">
        <v>67</v>
      </c>
    </row>
    <row r="29" customFormat="false" ht="15" hidden="false" customHeight="false" outlineLevel="0" collapsed="false">
      <c r="A29" s="5" t="n">
        <v>46199</v>
      </c>
      <c r="B29" s="7" t="s">
        <v>21</v>
      </c>
      <c r="C29" s="4" t="s">
        <v>158</v>
      </c>
      <c r="D29" s="9" t="n">
        <v>2568</v>
      </c>
      <c r="E29" s="8" t="n">
        <v>2514</v>
      </c>
      <c r="F29" s="8" t="n">
        <v>2622</v>
      </c>
      <c r="G29" s="38" t="s">
        <v>159</v>
      </c>
      <c r="H29" s="39" t="n">
        <v>168</v>
      </c>
    </row>
    <row r="30" customFormat="false" ht="15" hidden="false" customHeight="false" outlineLevel="0" collapsed="false">
      <c r="A30" s="12" t="n">
        <v>46199</v>
      </c>
      <c r="B30" s="14" t="s">
        <v>38</v>
      </c>
      <c r="C30" s="11" t="s">
        <v>158</v>
      </c>
      <c r="D30" s="16" t="n">
        <v>1535</v>
      </c>
      <c r="E30" s="15" t="n">
        <v>1373</v>
      </c>
      <c r="F30" s="15" t="n">
        <v>1697</v>
      </c>
      <c r="G30" s="40" t="s">
        <v>160</v>
      </c>
      <c r="H30" s="11" t="s">
        <v>161</v>
      </c>
    </row>
    <row r="31" customFormat="false" ht="15" hidden="false" customHeight="false" outlineLevel="0" collapsed="false">
      <c r="A31" s="5" t="n">
        <v>46199</v>
      </c>
      <c r="B31" s="7" t="s">
        <v>40</v>
      </c>
      <c r="C31" s="4" t="s">
        <v>158</v>
      </c>
      <c r="D31" s="9" t="n">
        <v>2169</v>
      </c>
      <c r="E31" s="8" t="n">
        <v>2061</v>
      </c>
      <c r="F31" s="8" t="n">
        <v>2277</v>
      </c>
      <c r="G31" s="38" t="s">
        <v>159</v>
      </c>
      <c r="H31" s="4" t="s">
        <v>161</v>
      </c>
    </row>
    <row r="32" customFormat="false" ht="15" hidden="false" customHeight="false" outlineLevel="0" collapsed="false">
      <c r="A32" s="12" t="n">
        <v>46199</v>
      </c>
      <c r="B32" s="14" t="s">
        <v>31</v>
      </c>
      <c r="C32" s="11" t="s">
        <v>158</v>
      </c>
      <c r="D32" s="16" t="n">
        <v>6106</v>
      </c>
      <c r="E32" s="15" t="n">
        <v>6020</v>
      </c>
      <c r="F32" s="15" t="n">
        <v>6192</v>
      </c>
      <c r="G32" s="40" t="s">
        <v>160</v>
      </c>
      <c r="H32" s="41" t="n">
        <v>156</v>
      </c>
    </row>
    <row r="33" customFormat="false" ht="15" hidden="false" customHeight="false" outlineLevel="0" collapsed="false">
      <c r="A33" s="5" t="n">
        <v>46199</v>
      </c>
      <c r="B33" s="7" t="s">
        <v>36</v>
      </c>
      <c r="C33" s="4" t="s">
        <v>158</v>
      </c>
      <c r="D33" s="9" t="n">
        <v>7407</v>
      </c>
      <c r="E33" s="8" t="n">
        <v>7308</v>
      </c>
      <c r="F33" s="8" t="n">
        <v>7506</v>
      </c>
      <c r="G33" s="38" t="s">
        <v>159</v>
      </c>
      <c r="H33" s="42" t="n">
        <v>-303</v>
      </c>
    </row>
    <row r="34" customFormat="false" ht="15" hidden="false" customHeight="false" outlineLevel="0" collapsed="false">
      <c r="A34" s="12" t="n">
        <v>46199</v>
      </c>
      <c r="B34" s="14" t="s">
        <v>34</v>
      </c>
      <c r="C34" s="11" t="s">
        <v>158</v>
      </c>
      <c r="D34" s="16" t="n">
        <v>23288</v>
      </c>
      <c r="E34" s="15" t="n">
        <v>22946</v>
      </c>
      <c r="F34" s="15" t="n">
        <v>23630</v>
      </c>
      <c r="G34" s="40" t="s">
        <v>160</v>
      </c>
      <c r="H34" s="41" t="n">
        <v>11188</v>
      </c>
    </row>
    <row r="35" customFormat="false" ht="15" hidden="false" customHeight="false" outlineLevel="0" collapsed="false">
      <c r="A35" s="5" t="n">
        <v>46200</v>
      </c>
      <c r="B35" s="7" t="s">
        <v>74</v>
      </c>
      <c r="C35" s="4" t="s">
        <v>158</v>
      </c>
      <c r="D35" s="9" t="n">
        <v>2477</v>
      </c>
      <c r="E35" s="8" t="n">
        <v>2436</v>
      </c>
      <c r="F35" s="8" t="n">
        <v>2518</v>
      </c>
      <c r="G35" s="38" t="s">
        <v>159</v>
      </c>
      <c r="H35" s="39" t="n">
        <v>108</v>
      </c>
    </row>
    <row r="36" customFormat="false" ht="15" hidden="false" customHeight="false" outlineLevel="0" collapsed="false">
      <c r="A36" s="12" t="n">
        <v>46200</v>
      </c>
      <c r="B36" s="14" t="s">
        <v>20</v>
      </c>
      <c r="C36" s="11" t="s">
        <v>158</v>
      </c>
      <c r="D36" s="16" t="n">
        <v>2474</v>
      </c>
      <c r="E36" s="15" t="n">
        <v>2440</v>
      </c>
      <c r="F36" s="15" t="n">
        <v>2508</v>
      </c>
      <c r="G36" s="40" t="s">
        <v>160</v>
      </c>
      <c r="H36" s="41" t="n">
        <v>49</v>
      </c>
    </row>
    <row r="37" customFormat="false" ht="15" hidden="false" customHeight="false" outlineLevel="0" collapsed="false">
      <c r="A37" s="5" t="n">
        <v>46200</v>
      </c>
      <c r="B37" s="7" t="s">
        <v>21</v>
      </c>
      <c r="C37" s="4" t="s">
        <v>158</v>
      </c>
      <c r="D37" s="9" t="n">
        <v>2614</v>
      </c>
      <c r="E37" s="8" t="n">
        <v>2560</v>
      </c>
      <c r="F37" s="8" t="n">
        <v>2668</v>
      </c>
      <c r="G37" s="38" t="s">
        <v>159</v>
      </c>
      <c r="H37" s="39" t="n">
        <v>214</v>
      </c>
    </row>
    <row r="38" customFormat="false" ht="15" hidden="false" customHeight="false" outlineLevel="0" collapsed="false">
      <c r="A38" s="12" t="n">
        <v>46200</v>
      </c>
      <c r="B38" s="14" t="s">
        <v>38</v>
      </c>
      <c r="C38" s="11" t="s">
        <v>158</v>
      </c>
      <c r="D38" s="16" t="n">
        <v>1423</v>
      </c>
      <c r="E38" s="15" t="n">
        <v>1261</v>
      </c>
      <c r="F38" s="15" t="n">
        <v>1585</v>
      </c>
      <c r="G38" s="40" t="s">
        <v>160</v>
      </c>
      <c r="H38" s="11" t="s">
        <v>161</v>
      </c>
    </row>
    <row r="39" customFormat="false" ht="15" hidden="false" customHeight="false" outlineLevel="0" collapsed="false">
      <c r="A39" s="5" t="n">
        <v>46200</v>
      </c>
      <c r="B39" s="7" t="s">
        <v>40</v>
      </c>
      <c r="C39" s="4" t="s">
        <v>158</v>
      </c>
      <c r="D39" s="9" t="n">
        <v>2208</v>
      </c>
      <c r="E39" s="8" t="n">
        <v>2100</v>
      </c>
      <c r="F39" s="8" t="n">
        <v>2316</v>
      </c>
      <c r="G39" s="38" t="s">
        <v>159</v>
      </c>
      <c r="H39" s="4" t="s">
        <v>161</v>
      </c>
    </row>
    <row r="40" customFormat="false" ht="15" hidden="false" customHeight="false" outlineLevel="0" collapsed="false">
      <c r="A40" s="12" t="n">
        <v>46200</v>
      </c>
      <c r="B40" s="14" t="s">
        <v>31</v>
      </c>
      <c r="C40" s="11" t="s">
        <v>158</v>
      </c>
      <c r="D40" s="16" t="n">
        <v>6044</v>
      </c>
      <c r="E40" s="15" t="n">
        <v>5958</v>
      </c>
      <c r="F40" s="15" t="n">
        <v>6130</v>
      </c>
      <c r="G40" s="40" t="s">
        <v>160</v>
      </c>
      <c r="H40" s="41" t="n">
        <v>94</v>
      </c>
    </row>
    <row r="41" customFormat="false" ht="15" hidden="false" customHeight="false" outlineLevel="0" collapsed="false">
      <c r="A41" s="5" t="n">
        <v>46200</v>
      </c>
      <c r="B41" s="7" t="s">
        <v>36</v>
      </c>
      <c r="C41" s="4" t="s">
        <v>158</v>
      </c>
      <c r="D41" s="9" t="n">
        <v>7375</v>
      </c>
      <c r="E41" s="8" t="n">
        <v>7276</v>
      </c>
      <c r="F41" s="8" t="n">
        <v>7474</v>
      </c>
      <c r="G41" s="38" t="s">
        <v>159</v>
      </c>
      <c r="H41" s="42" t="n">
        <v>-335</v>
      </c>
    </row>
    <row r="42" customFormat="false" ht="15" hidden="false" customHeight="false" outlineLevel="0" collapsed="false">
      <c r="A42" s="12" t="n">
        <v>46200</v>
      </c>
      <c r="B42" s="14" t="s">
        <v>34</v>
      </c>
      <c r="C42" s="11" t="s">
        <v>158</v>
      </c>
      <c r="D42" s="16" t="n">
        <v>23037</v>
      </c>
      <c r="E42" s="15" t="n">
        <v>22695</v>
      </c>
      <c r="F42" s="15" t="n">
        <v>23379</v>
      </c>
      <c r="G42" s="40" t="s">
        <v>160</v>
      </c>
      <c r="H42" s="41" t="n">
        <v>10937</v>
      </c>
    </row>
    <row r="43" customFormat="false" ht="15" hidden="false" customHeight="false" outlineLevel="0" collapsed="false">
      <c r="A43" s="5" t="n">
        <v>46201</v>
      </c>
      <c r="B43" s="7" t="s">
        <v>74</v>
      </c>
      <c r="C43" s="4" t="s">
        <v>158</v>
      </c>
      <c r="D43" s="9" t="n">
        <v>2489</v>
      </c>
      <c r="E43" s="8" t="n">
        <v>2448</v>
      </c>
      <c r="F43" s="8" t="n">
        <v>2530</v>
      </c>
      <c r="G43" s="38" t="s">
        <v>159</v>
      </c>
      <c r="H43" s="39" t="n">
        <v>120</v>
      </c>
    </row>
    <row r="44" customFormat="false" ht="15" hidden="false" customHeight="false" outlineLevel="0" collapsed="false">
      <c r="A44" s="12" t="n">
        <v>46201</v>
      </c>
      <c r="B44" s="14" t="s">
        <v>20</v>
      </c>
      <c r="C44" s="11" t="s">
        <v>158</v>
      </c>
      <c r="D44" s="16" t="n">
        <v>2494</v>
      </c>
      <c r="E44" s="15" t="n">
        <v>2460</v>
      </c>
      <c r="F44" s="15" t="n">
        <v>2528</v>
      </c>
      <c r="G44" s="40" t="s">
        <v>160</v>
      </c>
      <c r="H44" s="41" t="n">
        <v>69</v>
      </c>
    </row>
    <row r="45" customFormat="false" ht="15" hidden="false" customHeight="false" outlineLevel="0" collapsed="false">
      <c r="A45" s="5" t="n">
        <v>46201</v>
      </c>
      <c r="B45" s="7" t="s">
        <v>21</v>
      </c>
      <c r="C45" s="4" t="s">
        <v>158</v>
      </c>
      <c r="D45" s="9" t="n">
        <v>2590</v>
      </c>
      <c r="E45" s="8" t="n">
        <v>2536</v>
      </c>
      <c r="F45" s="8" t="n">
        <v>2644</v>
      </c>
      <c r="G45" s="38" t="s">
        <v>159</v>
      </c>
      <c r="H45" s="39" t="n">
        <v>190</v>
      </c>
    </row>
    <row r="46" customFormat="false" ht="15" hidden="false" customHeight="false" outlineLevel="0" collapsed="false">
      <c r="A46" s="12" t="n">
        <v>46201</v>
      </c>
      <c r="B46" s="14" t="s">
        <v>38</v>
      </c>
      <c r="C46" s="11" t="s">
        <v>158</v>
      </c>
      <c r="D46" s="16" t="n">
        <v>1491</v>
      </c>
      <c r="E46" s="15" t="n">
        <v>1329</v>
      </c>
      <c r="F46" s="15" t="n">
        <v>1653</v>
      </c>
      <c r="G46" s="40" t="s">
        <v>160</v>
      </c>
      <c r="H46" s="11" t="s">
        <v>161</v>
      </c>
    </row>
    <row r="47" customFormat="false" ht="15" hidden="false" customHeight="false" outlineLevel="0" collapsed="false">
      <c r="A47" s="5" t="n">
        <v>46201</v>
      </c>
      <c r="B47" s="7" t="s">
        <v>40</v>
      </c>
      <c r="C47" s="4" t="s">
        <v>158</v>
      </c>
      <c r="D47" s="9" t="n">
        <v>2126</v>
      </c>
      <c r="E47" s="8" t="n">
        <v>2018</v>
      </c>
      <c r="F47" s="8" t="n">
        <v>2234</v>
      </c>
      <c r="G47" s="38" t="s">
        <v>159</v>
      </c>
      <c r="H47" s="4" t="s">
        <v>161</v>
      </c>
    </row>
    <row r="48" customFormat="false" ht="15" hidden="false" customHeight="false" outlineLevel="0" collapsed="false">
      <c r="A48" s="12" t="n">
        <v>46201</v>
      </c>
      <c r="B48" s="14" t="s">
        <v>31</v>
      </c>
      <c r="C48" s="11" t="s">
        <v>158</v>
      </c>
      <c r="D48" s="16" t="n">
        <v>6091</v>
      </c>
      <c r="E48" s="15" t="n">
        <v>6006</v>
      </c>
      <c r="F48" s="15" t="n">
        <v>6176</v>
      </c>
      <c r="G48" s="40" t="s">
        <v>160</v>
      </c>
      <c r="H48" s="41" t="n">
        <v>141</v>
      </c>
    </row>
    <row r="49" customFormat="false" ht="15" hidden="false" customHeight="false" outlineLevel="0" collapsed="false">
      <c r="A49" s="5" t="n">
        <v>46201</v>
      </c>
      <c r="B49" s="7" t="s">
        <v>36</v>
      </c>
      <c r="C49" s="4" t="s">
        <v>158</v>
      </c>
      <c r="D49" s="9" t="n">
        <v>7413</v>
      </c>
      <c r="E49" s="8" t="n">
        <v>7314</v>
      </c>
      <c r="F49" s="8" t="n">
        <v>7512</v>
      </c>
      <c r="G49" s="38" t="s">
        <v>159</v>
      </c>
      <c r="H49" s="42" t="n">
        <v>-297</v>
      </c>
    </row>
    <row r="50" customFormat="false" ht="15" hidden="false" customHeight="false" outlineLevel="0" collapsed="false">
      <c r="A50" s="12" t="n">
        <v>46201</v>
      </c>
      <c r="B50" s="14" t="s">
        <v>34</v>
      </c>
      <c r="C50" s="11" t="s">
        <v>158</v>
      </c>
      <c r="D50" s="16" t="n">
        <v>23170</v>
      </c>
      <c r="E50" s="15" t="n">
        <v>22828</v>
      </c>
      <c r="F50" s="15" t="n">
        <v>23512</v>
      </c>
      <c r="G50" s="40" t="s">
        <v>160</v>
      </c>
      <c r="H50" s="41" t="n">
        <v>11070</v>
      </c>
    </row>
    <row r="51" customFormat="false" ht="15" hidden="false" customHeight="false" outlineLevel="0" collapsed="false">
      <c r="A51" s="5" t="n">
        <v>46202</v>
      </c>
      <c r="B51" s="7" t="s">
        <v>74</v>
      </c>
      <c r="C51" s="4" t="s">
        <v>158</v>
      </c>
      <c r="D51" s="9" t="n">
        <v>2482</v>
      </c>
      <c r="E51" s="8" t="n">
        <v>2442</v>
      </c>
      <c r="F51" s="8" t="n">
        <v>2522</v>
      </c>
      <c r="G51" s="38" t="s">
        <v>159</v>
      </c>
      <c r="H51" s="39" t="n">
        <v>113</v>
      </c>
    </row>
    <row r="52" customFormat="false" ht="15" hidden="false" customHeight="false" outlineLevel="0" collapsed="false">
      <c r="A52" s="12" t="n">
        <v>46202</v>
      </c>
      <c r="B52" s="14" t="s">
        <v>20</v>
      </c>
      <c r="C52" s="11" t="s">
        <v>158</v>
      </c>
      <c r="D52" s="16" t="n">
        <v>2465</v>
      </c>
      <c r="E52" s="15" t="n">
        <v>2431</v>
      </c>
      <c r="F52" s="15" t="n">
        <v>2499</v>
      </c>
      <c r="G52" s="40" t="s">
        <v>160</v>
      </c>
      <c r="H52" s="41" t="n">
        <v>40</v>
      </c>
    </row>
    <row r="53" customFormat="false" ht="15" hidden="false" customHeight="false" outlineLevel="0" collapsed="false">
      <c r="A53" s="5" t="n">
        <v>46202</v>
      </c>
      <c r="B53" s="7" t="s">
        <v>21</v>
      </c>
      <c r="C53" s="4" t="s">
        <v>158</v>
      </c>
      <c r="D53" s="9" t="n">
        <v>2599</v>
      </c>
      <c r="E53" s="8" t="n">
        <v>2545</v>
      </c>
      <c r="F53" s="8" t="n">
        <v>2653</v>
      </c>
      <c r="G53" s="38" t="s">
        <v>159</v>
      </c>
      <c r="H53" s="39" t="n">
        <v>199</v>
      </c>
    </row>
    <row r="54" customFormat="false" ht="15" hidden="false" customHeight="false" outlineLevel="0" collapsed="false">
      <c r="A54" s="12" t="n">
        <v>46202</v>
      </c>
      <c r="B54" s="14" t="s">
        <v>38</v>
      </c>
      <c r="C54" s="11" t="s">
        <v>158</v>
      </c>
      <c r="D54" s="16" t="n">
        <v>1487</v>
      </c>
      <c r="E54" s="15" t="n">
        <v>1325</v>
      </c>
      <c r="F54" s="15" t="n">
        <v>1649</v>
      </c>
      <c r="G54" s="40" t="s">
        <v>160</v>
      </c>
      <c r="H54" s="11" t="s">
        <v>161</v>
      </c>
    </row>
    <row r="55" customFormat="false" ht="15" hidden="false" customHeight="false" outlineLevel="0" collapsed="false">
      <c r="A55" s="5" t="n">
        <v>46202</v>
      </c>
      <c r="B55" s="7" t="s">
        <v>40</v>
      </c>
      <c r="C55" s="4" t="s">
        <v>158</v>
      </c>
      <c r="D55" s="9" t="n">
        <v>2164</v>
      </c>
      <c r="E55" s="8" t="n">
        <v>2056</v>
      </c>
      <c r="F55" s="8" t="n">
        <v>2272</v>
      </c>
      <c r="G55" s="38" t="s">
        <v>159</v>
      </c>
      <c r="H55" s="4" t="s">
        <v>161</v>
      </c>
    </row>
    <row r="56" customFormat="false" ht="15" hidden="false" customHeight="false" outlineLevel="0" collapsed="false">
      <c r="A56" s="12" t="n">
        <v>46202</v>
      </c>
      <c r="B56" s="14" t="s">
        <v>31</v>
      </c>
      <c r="C56" s="11" t="s">
        <v>158</v>
      </c>
      <c r="D56" s="16" t="n">
        <v>6143</v>
      </c>
      <c r="E56" s="15" t="n">
        <v>6058</v>
      </c>
      <c r="F56" s="15" t="n">
        <v>6228</v>
      </c>
      <c r="G56" s="40" t="s">
        <v>160</v>
      </c>
      <c r="H56" s="41" t="n">
        <v>193</v>
      </c>
    </row>
    <row r="57" customFormat="false" ht="15" hidden="false" customHeight="false" outlineLevel="0" collapsed="false">
      <c r="A57" s="5" t="n">
        <v>46202</v>
      </c>
      <c r="B57" s="7" t="s">
        <v>36</v>
      </c>
      <c r="C57" s="4" t="s">
        <v>158</v>
      </c>
      <c r="D57" s="9" t="n">
        <v>7478</v>
      </c>
      <c r="E57" s="8" t="n">
        <v>7379</v>
      </c>
      <c r="F57" s="8" t="n">
        <v>7577</v>
      </c>
      <c r="G57" s="38" t="s">
        <v>159</v>
      </c>
      <c r="H57" s="42" t="n">
        <v>-232</v>
      </c>
    </row>
    <row r="58" customFormat="false" ht="15" hidden="false" customHeight="false" outlineLevel="0" collapsed="false">
      <c r="A58" s="12" t="n">
        <v>46202</v>
      </c>
      <c r="B58" s="14" t="s">
        <v>34</v>
      </c>
      <c r="C58" s="11" t="s">
        <v>158</v>
      </c>
      <c r="D58" s="16" t="n">
        <v>23152</v>
      </c>
      <c r="E58" s="15" t="n">
        <v>22810</v>
      </c>
      <c r="F58" s="15" t="n">
        <v>23494</v>
      </c>
      <c r="G58" s="40" t="s">
        <v>160</v>
      </c>
      <c r="H58" s="41" t="n">
        <v>11052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16"/>
    <col collapsed="false" customWidth="true" hidden="false" outlineLevel="0" max="3" min="3" style="0" width="12"/>
    <col collapsed="false" customWidth="true" hidden="false" outlineLevel="0" max="4" min="4" style="0" width="14"/>
  </cols>
  <sheetData>
    <row r="1" customFormat="false" ht="30" hidden="false" customHeight="true" outlineLevel="0" collapsed="false">
      <c r="A1" s="1" t="s">
        <v>162</v>
      </c>
      <c r="B1" s="1"/>
      <c r="C1" s="1"/>
      <c r="D1" s="1"/>
    </row>
    <row r="2" customFormat="false" ht="15" hidden="false" customHeight="false" outlineLevel="0" collapsed="false">
      <c r="A2" s="3" t="s">
        <v>163</v>
      </c>
      <c r="B2" s="3" t="s">
        <v>164</v>
      </c>
      <c r="C2" s="3" t="s">
        <v>165</v>
      </c>
      <c r="D2" s="3" t="s">
        <v>166</v>
      </c>
    </row>
    <row r="3" customFormat="false" ht="15" hidden="false" customHeight="false" outlineLevel="0" collapsed="false">
      <c r="A3" s="7" t="s">
        <v>167</v>
      </c>
      <c r="B3" s="43" t="n">
        <v>729</v>
      </c>
      <c r="C3" s="4" t="s">
        <v>168</v>
      </c>
      <c r="D3" s="4" t="s">
        <v>169</v>
      </c>
    </row>
    <row r="4" customFormat="false" ht="15" hidden="false" customHeight="false" outlineLevel="0" collapsed="false">
      <c r="A4" s="14" t="s">
        <v>170</v>
      </c>
      <c r="B4" s="44" t="n">
        <v>95</v>
      </c>
      <c r="C4" s="11" t="s">
        <v>168</v>
      </c>
      <c r="D4" s="11" t="s">
        <v>171</v>
      </c>
    </row>
    <row r="5" customFormat="false" ht="15" hidden="false" customHeight="false" outlineLevel="0" collapsed="false">
      <c r="A5" s="7" t="s">
        <v>172</v>
      </c>
      <c r="B5" s="43" t="n">
        <v>42</v>
      </c>
      <c r="C5" s="4" t="s">
        <v>168</v>
      </c>
      <c r="D5" s="4" t="s">
        <v>171</v>
      </c>
    </row>
    <row r="6" customFormat="false" ht="15" hidden="false" customHeight="false" outlineLevel="0" collapsed="false">
      <c r="A6" s="14" t="s">
        <v>173</v>
      </c>
      <c r="B6" s="44" t="n">
        <v>4821</v>
      </c>
      <c r="C6" s="11" t="s">
        <v>174</v>
      </c>
      <c r="D6" s="11" t="s">
        <v>175</v>
      </c>
    </row>
    <row r="7" customFormat="false" ht="15" hidden="false" customHeight="false" outlineLevel="0" collapsed="false">
      <c r="A7" s="7" t="s">
        <v>176</v>
      </c>
      <c r="B7" s="43" t="n">
        <v>214000</v>
      </c>
      <c r="C7" s="4" t="s">
        <v>177</v>
      </c>
      <c r="D7" s="4" t="s">
        <v>169</v>
      </c>
    </row>
    <row r="8" customFormat="false" ht="15" hidden="false" customHeight="false" outlineLevel="0" collapsed="false">
      <c r="A8" s="14" t="s">
        <v>178</v>
      </c>
      <c r="B8" s="44" t="n">
        <v>24</v>
      </c>
      <c r="C8" s="11" t="s">
        <v>168</v>
      </c>
      <c r="D8" s="11" t="s">
        <v>179</v>
      </c>
    </row>
    <row r="9" customFormat="false" ht="15" hidden="false" customHeight="false" outlineLevel="0" collapsed="false">
      <c r="A9" s="7" t="s">
        <v>180</v>
      </c>
      <c r="B9" s="43" t="n">
        <v>14</v>
      </c>
      <c r="C9" s="4" t="s">
        <v>168</v>
      </c>
      <c r="D9" s="4" t="s">
        <v>179</v>
      </c>
    </row>
    <row r="10" customFormat="false" ht="15" hidden="false" customHeight="false" outlineLevel="0" collapsed="false">
      <c r="A10" s="14" t="s">
        <v>181</v>
      </c>
      <c r="B10" s="44" t="n">
        <v>4</v>
      </c>
      <c r="C10" s="11" t="s">
        <v>168</v>
      </c>
      <c r="D10" s="11" t="s">
        <v>179</v>
      </c>
    </row>
    <row r="11" customFormat="false" ht="15" hidden="false" customHeight="false" outlineLevel="0" collapsed="false">
      <c r="A11" s="7" t="s">
        <v>182</v>
      </c>
      <c r="B11" s="43" t="n">
        <v>8.6</v>
      </c>
      <c r="C11" s="4" t="s">
        <v>183</v>
      </c>
      <c r="D11" s="4" t="s">
        <v>152</v>
      </c>
    </row>
    <row r="12" customFormat="false" ht="15" hidden="false" customHeight="false" outlineLevel="0" collapsed="false">
      <c r="A12" s="14" t="s">
        <v>184</v>
      </c>
      <c r="B12" s="44" t="n">
        <v>18</v>
      </c>
      <c r="C12" s="11" t="s">
        <v>183</v>
      </c>
      <c r="D12" s="11" t="s">
        <v>185</v>
      </c>
    </row>
    <row r="13" customFormat="false" ht="15" hidden="false" customHeight="false" outlineLevel="0" collapsed="false">
      <c r="A13" s="7" t="s">
        <v>186</v>
      </c>
      <c r="B13" s="43" t="s">
        <v>100</v>
      </c>
      <c r="C13" s="4" t="s">
        <v>73</v>
      </c>
      <c r="D13" s="4" t="s">
        <v>185</v>
      </c>
    </row>
    <row r="14" customFormat="false" ht="15" hidden="false" customHeight="false" outlineLevel="0" collapsed="false">
      <c r="A14" s="14" t="s">
        <v>187</v>
      </c>
      <c r="B14" s="44" t="s">
        <v>104</v>
      </c>
      <c r="C14" s="11" t="s">
        <v>73</v>
      </c>
      <c r="D14" s="11" t="s">
        <v>185</v>
      </c>
    </row>
    <row r="15" customFormat="false" ht="15" hidden="false" customHeight="false" outlineLevel="0" collapsed="false">
      <c r="A15" s="7" t="s">
        <v>188</v>
      </c>
      <c r="B15" s="43" t="n">
        <v>39.3</v>
      </c>
      <c r="C15" s="4" t="s">
        <v>183</v>
      </c>
      <c r="D15" s="4" t="s">
        <v>4</v>
      </c>
    </row>
    <row r="16" customFormat="false" ht="15" hidden="false" customHeight="false" outlineLevel="0" collapsed="false">
      <c r="A16" s="14" t="s">
        <v>189</v>
      </c>
      <c r="B16" s="44" t="n">
        <v>30714</v>
      </c>
      <c r="C16" s="11" t="s">
        <v>174</v>
      </c>
      <c r="D16" s="11" t="s">
        <v>4</v>
      </c>
    </row>
    <row r="17" customFormat="false" ht="15" hidden="false" customHeight="false" outlineLevel="0" collapsed="false">
      <c r="A17" s="7" t="s">
        <v>190</v>
      </c>
      <c r="B17" s="43" t="n">
        <v>-0.42</v>
      </c>
      <c r="C17" s="4" t="s">
        <v>191</v>
      </c>
      <c r="D17" s="4" t="s">
        <v>6</v>
      </c>
    </row>
    <row r="18" customFormat="false" ht="15" hidden="false" customHeight="false" outlineLevel="0" collapsed="false">
      <c r="A18" s="14" t="s">
        <v>192</v>
      </c>
      <c r="B18" s="44" t="n">
        <v>30</v>
      </c>
      <c r="C18" s="11" t="s">
        <v>193</v>
      </c>
      <c r="D18" s="11" t="s">
        <v>194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6"/>
    <col collapsed="false" customWidth="true" hidden="false" outlineLevel="0" max="3" min="3" style="0" width="15"/>
    <col collapsed="false" customWidth="true" hidden="false" outlineLevel="0" max="4" min="4" style="0" width="8"/>
    <col collapsed="false" customWidth="true" hidden="false" outlineLevel="0" max="5" min="5" style="0" width="18"/>
    <col collapsed="false" customWidth="true" hidden="false" outlineLevel="0" max="6" min="6" style="0" width="20"/>
  </cols>
  <sheetData>
    <row r="1" customFormat="false" ht="30" hidden="false" customHeight="true" outlineLevel="0" collapsed="false">
      <c r="A1" s="1" t="s">
        <v>195</v>
      </c>
      <c r="B1" s="1"/>
      <c r="C1" s="1"/>
      <c r="D1" s="1"/>
      <c r="E1" s="1"/>
      <c r="F1" s="1"/>
    </row>
    <row r="2" customFormat="false" ht="25.5" hidden="false" customHeight="true" outlineLevel="0" collapsed="false">
      <c r="A2" s="3" t="s">
        <v>7</v>
      </c>
      <c r="B2" s="3" t="s">
        <v>111</v>
      </c>
      <c r="C2" s="3" t="s">
        <v>196</v>
      </c>
      <c r="D2" s="3" t="s">
        <v>165</v>
      </c>
      <c r="E2" s="3" t="s">
        <v>197</v>
      </c>
      <c r="F2" s="3" t="s">
        <v>198</v>
      </c>
    </row>
    <row r="3" customFormat="false" ht="15" hidden="false" customHeight="false" outlineLevel="0" collapsed="false">
      <c r="A3" s="7" t="s">
        <v>199</v>
      </c>
      <c r="B3" s="6" t="s">
        <v>200</v>
      </c>
      <c r="C3" s="9" t="n">
        <v>133065</v>
      </c>
      <c r="D3" s="4" t="s">
        <v>201</v>
      </c>
      <c r="E3" s="8" t="n">
        <v>450</v>
      </c>
      <c r="F3" s="45" t="n">
        <f aca="false">C3*E3</f>
        <v>59879250</v>
      </c>
    </row>
    <row r="4" customFormat="false" ht="15" hidden="false" customHeight="false" outlineLevel="0" collapsed="false">
      <c r="A4" s="14" t="s">
        <v>202</v>
      </c>
      <c r="B4" s="13" t="s">
        <v>200</v>
      </c>
      <c r="C4" s="16" t="n">
        <v>46390</v>
      </c>
      <c r="D4" s="11" t="s">
        <v>201</v>
      </c>
      <c r="E4" s="15" t="n">
        <v>1200</v>
      </c>
      <c r="F4" s="46" t="n">
        <f aca="false">C4*E4</f>
        <v>55668000</v>
      </c>
    </row>
    <row r="5" customFormat="false" ht="15" hidden="false" customHeight="false" outlineLevel="0" collapsed="false">
      <c r="A5" s="7" t="s">
        <v>17</v>
      </c>
      <c r="B5" s="6" t="s">
        <v>18</v>
      </c>
      <c r="C5" s="9" t="n">
        <v>6329</v>
      </c>
      <c r="D5" s="4" t="s">
        <v>177</v>
      </c>
      <c r="E5" s="8" t="n">
        <v>2481</v>
      </c>
      <c r="F5" s="45" t="n">
        <f aca="false">C5*E5</f>
        <v>15702249</v>
      </c>
    </row>
    <row r="6" customFormat="false" ht="15" hidden="false" customHeight="false" outlineLevel="0" collapsed="false">
      <c r="A6" s="14" t="s">
        <v>203</v>
      </c>
      <c r="B6" s="13" t="s">
        <v>18</v>
      </c>
      <c r="C6" s="16" t="n">
        <v>5630</v>
      </c>
      <c r="D6" s="11" t="s">
        <v>177</v>
      </c>
      <c r="E6" s="15" t="n">
        <v>3200</v>
      </c>
      <c r="F6" s="46" t="n">
        <f aca="false">C6*E6</f>
        <v>18016000</v>
      </c>
    </row>
    <row r="7" customFormat="false" ht="15" hidden="false" customHeight="false" outlineLevel="0" collapsed="false">
      <c r="A7" s="7" t="s">
        <v>38</v>
      </c>
      <c r="B7" s="6" t="s">
        <v>39</v>
      </c>
      <c r="C7" s="9" t="n">
        <v>5083</v>
      </c>
      <c r="D7" s="4" t="s">
        <v>177</v>
      </c>
      <c r="E7" s="8" t="n">
        <v>1500</v>
      </c>
      <c r="F7" s="45" t="n">
        <f aca="false">C7*E7</f>
        <v>7624500</v>
      </c>
    </row>
    <row r="8" customFormat="false" ht="15" hidden="false" customHeight="false" outlineLevel="0" collapsed="false">
      <c r="A8" s="14" t="s">
        <v>40</v>
      </c>
      <c r="B8" s="13" t="s">
        <v>39</v>
      </c>
      <c r="C8" s="16" t="n">
        <v>3097</v>
      </c>
      <c r="D8" s="11" t="s">
        <v>177</v>
      </c>
      <c r="E8" s="15" t="n">
        <v>2200</v>
      </c>
      <c r="F8" s="46" t="n">
        <f aca="false">C8*E8</f>
        <v>6813400</v>
      </c>
    </row>
    <row r="9" customFormat="false" ht="15" hidden="false" customHeight="false" outlineLevel="0" collapsed="false">
      <c r="A9" s="7" t="s">
        <v>21</v>
      </c>
      <c r="B9" s="6" t="s">
        <v>18</v>
      </c>
      <c r="C9" s="9" t="n">
        <v>2766</v>
      </c>
      <c r="D9" s="4" t="s">
        <v>177</v>
      </c>
      <c r="E9" s="8" t="n">
        <v>2600</v>
      </c>
      <c r="F9" s="45" t="n">
        <f aca="false">C9*E9</f>
        <v>7191600</v>
      </c>
    </row>
    <row r="10" customFormat="false" ht="15" hidden="false" customHeight="false" outlineLevel="0" collapsed="false">
      <c r="A10" s="14" t="s">
        <v>204</v>
      </c>
      <c r="B10" s="13" t="s">
        <v>39</v>
      </c>
      <c r="C10" s="16" t="n">
        <v>1864</v>
      </c>
      <c r="D10" s="11" t="s">
        <v>177</v>
      </c>
      <c r="E10" s="15" t="n">
        <v>1800</v>
      </c>
      <c r="F10" s="46" t="n">
        <f aca="false">C10*E10</f>
        <v>3355200</v>
      </c>
    </row>
    <row r="11" customFormat="false" ht="15" hidden="false" customHeight="false" outlineLevel="0" collapsed="false">
      <c r="A11" s="7" t="s">
        <v>24</v>
      </c>
      <c r="B11" s="6" t="s">
        <v>25</v>
      </c>
      <c r="C11" s="9" t="n">
        <v>718</v>
      </c>
      <c r="D11" s="4" t="s">
        <v>177</v>
      </c>
      <c r="E11" s="8" t="n">
        <v>7360</v>
      </c>
      <c r="F11" s="45" t="n">
        <f aca="false">C11*E11</f>
        <v>5284480</v>
      </c>
    </row>
    <row r="12" customFormat="false" ht="15" hidden="false" customHeight="false" outlineLevel="0" collapsed="false">
      <c r="A12" s="14" t="s">
        <v>107</v>
      </c>
      <c r="B12" s="13" t="s">
        <v>205</v>
      </c>
      <c r="C12" s="16" t="n">
        <v>666</v>
      </c>
      <c r="D12" s="11" t="s">
        <v>177</v>
      </c>
      <c r="E12" s="15" t="n">
        <v>30714</v>
      </c>
      <c r="F12" s="46" t="n">
        <f aca="false">C12*E12</f>
        <v>20455524</v>
      </c>
    </row>
    <row r="13" customFormat="false" ht="15" hidden="false" customHeight="false" outlineLevel="0" collapsed="false">
      <c r="A13" s="7" t="s">
        <v>26</v>
      </c>
      <c r="B13" s="6" t="s">
        <v>25</v>
      </c>
      <c r="C13" s="9" t="n">
        <v>429</v>
      </c>
      <c r="D13" s="4" t="s">
        <v>177</v>
      </c>
      <c r="E13" s="8" t="n">
        <v>5681</v>
      </c>
      <c r="F13" s="45" t="n">
        <f aca="false">C13*E13</f>
        <v>2437149</v>
      </c>
    </row>
    <row r="14" customFormat="false" ht="15" hidden="false" customHeight="false" outlineLevel="0" collapsed="false">
      <c r="A14" s="14" t="s">
        <v>29</v>
      </c>
      <c r="B14" s="13" t="s">
        <v>30</v>
      </c>
      <c r="C14" s="16" t="n">
        <v>429</v>
      </c>
      <c r="D14" s="11" t="s">
        <v>177</v>
      </c>
      <c r="E14" s="15" t="n">
        <v>6376</v>
      </c>
      <c r="F14" s="46" t="n">
        <f aca="false">C14*E14</f>
        <v>2735304</v>
      </c>
    </row>
    <row r="15" customFormat="false" ht="15" hidden="false" customHeight="false" outlineLevel="0" collapsed="false">
      <c r="A15" s="7" t="s">
        <v>34</v>
      </c>
      <c r="B15" s="6" t="s">
        <v>30</v>
      </c>
      <c r="C15" s="9" t="n">
        <v>180</v>
      </c>
      <c r="D15" s="4" t="s">
        <v>177</v>
      </c>
      <c r="E15" s="8" t="n">
        <v>23000</v>
      </c>
      <c r="F15" s="45" t="n">
        <f aca="false">C15*E15</f>
        <v>4140000</v>
      </c>
    </row>
    <row r="16" customFormat="false" ht="15" hidden="false" customHeight="false" outlineLevel="0" collapsed="false">
      <c r="A16" s="14" t="s">
        <v>22</v>
      </c>
      <c r="B16" s="13" t="s">
        <v>18</v>
      </c>
      <c r="C16" s="16" t="n">
        <v>378</v>
      </c>
      <c r="D16" s="11" t="s">
        <v>177</v>
      </c>
      <c r="E16" s="15" t="n">
        <v>4082</v>
      </c>
      <c r="F16" s="46" t="n">
        <f aca="false">C16*E16</f>
        <v>1542996</v>
      </c>
    </row>
    <row r="17" customFormat="false" ht="15" hidden="false" customHeight="false" outlineLevel="0" collapsed="false">
      <c r="A17" s="7" t="s">
        <v>206</v>
      </c>
      <c r="B17" s="6" t="s">
        <v>39</v>
      </c>
      <c r="C17" s="9" t="n">
        <v>314</v>
      </c>
      <c r="D17" s="4" t="s">
        <v>177</v>
      </c>
      <c r="E17" s="8" t="n">
        <v>5500</v>
      </c>
      <c r="F17" s="45" t="n">
        <f aca="false">C17*E17</f>
        <v>1727000</v>
      </c>
    </row>
    <row r="18" customFormat="false" ht="15" hidden="false" customHeight="false" outlineLevel="0" collapsed="false">
      <c r="A18" s="14" t="s">
        <v>20</v>
      </c>
      <c r="B18" s="13" t="s">
        <v>18</v>
      </c>
      <c r="C18" s="16" t="n">
        <v>258</v>
      </c>
      <c r="D18" s="11" t="s">
        <v>177</v>
      </c>
      <c r="E18" s="15" t="n">
        <v>2488</v>
      </c>
      <c r="F18" s="46" t="n">
        <f aca="false">C18*E18</f>
        <v>641904</v>
      </c>
    </row>
    <row r="19" customFormat="false" ht="15" hidden="false" customHeight="false" outlineLevel="0" collapsed="false">
      <c r="A19" s="7" t="s">
        <v>36</v>
      </c>
      <c r="B19" s="6" t="s">
        <v>37</v>
      </c>
      <c r="C19" s="9" t="n">
        <v>210</v>
      </c>
      <c r="D19" s="4" t="s">
        <v>177</v>
      </c>
      <c r="E19" s="8" t="n">
        <v>7435</v>
      </c>
      <c r="F19" s="45" t="n">
        <f aca="false">C19*E19</f>
        <v>1561350</v>
      </c>
    </row>
    <row r="20" customFormat="false" ht="15" hidden="false" customHeight="false" outlineLevel="0" collapsed="false">
      <c r="A20" s="14" t="s">
        <v>31</v>
      </c>
      <c r="B20" s="13" t="s">
        <v>30</v>
      </c>
      <c r="C20" s="16" t="n">
        <v>185</v>
      </c>
      <c r="D20" s="11" t="s">
        <v>177</v>
      </c>
      <c r="E20" s="15" t="n">
        <v>6114</v>
      </c>
      <c r="F20" s="46" t="n">
        <f aca="false">C20*E20</f>
        <v>1131090</v>
      </c>
    </row>
    <row r="21" customFormat="false" ht="15" hidden="false" customHeight="false" outlineLevel="0" collapsed="false">
      <c r="A21" s="7" t="s">
        <v>207</v>
      </c>
      <c r="B21" s="6" t="s">
        <v>200</v>
      </c>
      <c r="C21" s="9" t="n">
        <v>165</v>
      </c>
      <c r="D21" s="4" t="s">
        <v>177</v>
      </c>
      <c r="E21" s="8" t="n">
        <v>2100</v>
      </c>
      <c r="F21" s="45" t="n">
        <f aca="false">C21*E21</f>
        <v>346500</v>
      </c>
    </row>
    <row r="22" customFormat="false" ht="15" hidden="false" customHeight="false" outlineLevel="0" collapsed="false">
      <c r="A22" s="14" t="s">
        <v>208</v>
      </c>
      <c r="B22" s="13" t="s">
        <v>200</v>
      </c>
      <c r="C22" s="16" t="n">
        <v>89</v>
      </c>
      <c r="D22" s="11" t="s">
        <v>177</v>
      </c>
      <c r="E22" s="15" t="n">
        <v>4500</v>
      </c>
      <c r="F22" s="46" t="n">
        <f aca="false">C22*E22</f>
        <v>400500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2026-06-24T10:32:14Z</dcterms:created>
  <dc:creator>openpyxl</dc:creator>
  <dc:description/>
  <dc:language>en-US</dc:language>
  <cp:lastModifiedBy/>
  <dcterms:modified xsi:type="dcterms:W3CDTF">2026-06-25T00:39:02Z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